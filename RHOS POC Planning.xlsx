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ieboldnixdorf.sharepoint.com/teams/ITInfrastructureEngineering/Shared Documents/Projects/RedHat OpenShift/POC/"/>
    </mc:Choice>
  </mc:AlternateContent>
  <xr:revisionPtr revIDLastSave="1546" documentId="8_{E2B5ED1D-7E05-4770-9DBC-D20B97EF65ED}" xr6:coauthVersionLast="47" xr6:coauthVersionMax="47" xr10:uidLastSave="{0532F525-E5CA-4059-B51B-AEB89FCDDFDC}"/>
  <bookViews>
    <workbookView xWindow="-28920" yWindow="-120" windowWidth="29040" windowHeight="17520" tabRatio="853" firstSheet="2" activeTab="7" xr2:uid="{C13FBB11-7BDC-46D3-B52B-7A991841C959}"/>
  </bookViews>
  <sheets>
    <sheet name="Planning req for WS" sheetId="6" state="hidden" r:id="rId1"/>
    <sheet name="Prerequisites" sheetId="30" r:id="rId2"/>
    <sheet name="LL Tasks" sheetId="3" r:id="rId3"/>
    <sheet name="Open Support" sheetId="19" r:id="rId4"/>
    <sheet name="Input" sheetId="29" r:id="rId5"/>
    <sheet name="Pre-Migration testing" sheetId="9" state="hidden" r:id="rId6"/>
    <sheet name="PROD Tenant Migration Framework" sheetId="4" state="hidden" r:id="rId7"/>
    <sheet name="Virtualization tasks" sheetId="31" r:id="rId8"/>
    <sheet name="Containerization POC" sheetId="32" r:id="rId9"/>
  </sheets>
  <definedNames>
    <definedName name="_xlnm._FilterDatabase" localSheetId="2" hidden="1">'LL Tasks'!$A$1:$M$1</definedName>
    <definedName name="_xlnm._FilterDatabase" localSheetId="3" hidden="1">'Open Support'!$A$1:$J$33</definedName>
    <definedName name="_xlnm._FilterDatabase" localSheetId="5" hidden="1">'Pre-Migration testing'!$A$1:$G$1</definedName>
    <definedName name="_xlnm._FilterDatabase" localSheetId="6" hidden="1">'PROD Tenant Migration Framework'!$J$1:$K$1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7" i="4" l="1"/>
  <c r="J37" i="4"/>
  <c r="F37" i="4"/>
  <c r="G37" i="4"/>
  <c r="H37" i="4"/>
  <c r="I37" i="4"/>
  <c r="K35" i="4" l="1"/>
  <c r="J35" i="4"/>
  <c r="I35" i="4"/>
  <c r="H35" i="4"/>
  <c r="G35" i="4"/>
  <c r="F35" i="4"/>
</calcChain>
</file>

<file path=xl/sharedStrings.xml><?xml version="1.0" encoding="utf-8"?>
<sst xmlns="http://schemas.openxmlformats.org/spreadsheetml/2006/main" count="1214" uniqueCount="750">
  <si>
    <t>Task ID</t>
  </si>
  <si>
    <t>Task</t>
  </si>
  <si>
    <t>Task Desc</t>
  </si>
  <si>
    <t>Sustainable VLAN Scalability</t>
  </si>
  <si>
    <t>We trunk ~2000 VLANs towards each UCS FI port-channel however with DELL we have to trunk it to all server port-channels or ac-tive/standby links. Each Cisco ACI leaf switch has a certain VLAN scalability (Cisco states 64000). In theory that means a completely unoccupied switch could be used to support only 32 with 2000 VLANs on it (32x2000 = 64000). If this is right (to be confirmed by Cisco) then our existing network infrastructure may not be able to handle the new servers in test and we would also need to validate potential increase in HW investments for Prod. To be Discussed in meeting with Dell Subject Matter Expert.</t>
  </si>
  <si>
    <t>lldp between Servers and Network</t>
  </si>
  <si>
    <t>VMM domain configuration on APIC</t>
  </si>
  <si>
    <t>We use Cisco ACI with VMware VDS Integration where APIC deploys port groups into vCenter. This is achieved by creating Read-Write VMM Domain. The configuration is set with certain policies for config-uring port-channel towards UCS Fis and mac-pinning for vDS itself. We need to ascertain whether we can use the existing domain or whether we have to create a new one for DELL servers (which means new datacenter in vCenter) and for that there are some caveats to en-sure connectivity between the new and existing compute setup to per-form virtual machines vMotion. To be Discussed in meeting with Dell Subject Matter Expert.</t>
  </si>
  <si>
    <t>new VMM Domain to configure but not necressary to be discussed with Dell</t>
  </si>
  <si>
    <t>PowerFlex Compute Nodes installed with ESXi Server</t>
  </si>
  <si>
    <t>what is the Process behind? What can be automatet, what needs to be changed/Add</t>
  </si>
  <si>
    <t xml:space="preserve">VLAN for Management </t>
  </si>
  <si>
    <t>can we use the existing VLANS for Management (1331, 1332,329) also for the new EXSi Servers</t>
  </si>
  <si>
    <t xml:space="preserve">Better having new VLAN´s </t>
  </si>
  <si>
    <t>Networks for in-guest-Storage</t>
  </si>
  <si>
    <t>Storage Interfaces from VM´s needs to connect to the new Storage Provider</t>
  </si>
  <si>
    <t>Storage Network Micro Segmentation</t>
  </si>
  <si>
    <t xml:space="preserve">Micro segmentation needs to be enabled on Storage Network and Tenant VM´s </t>
  </si>
  <si>
    <t xml:space="preserve">VLAN for vMotion </t>
  </si>
  <si>
    <t>can we use the existing VLANS for vMotion also for the new ESXi Servers</t>
  </si>
  <si>
    <t>PowerFlex Management ESXi Server</t>
  </si>
  <si>
    <t>can we include the PF ESXi Servers into our Manangement Vcenter</t>
  </si>
  <si>
    <t>Best Practise of dell ?</t>
  </si>
  <si>
    <t>Distribution of ESXi Servers</t>
  </si>
  <si>
    <t>According to the actual Values, the 25 Prod Servers needs to be distributet to the proper Clusters</t>
  </si>
  <si>
    <t>Co-existence of old and new Clusters (EVC Mode)</t>
  </si>
  <si>
    <t>Both old and new ESX Clusters needs to be on an equal or compartible EVC Mode to ensure seamless migration</t>
  </si>
  <si>
    <t>one Vcenter</t>
  </si>
  <si>
    <t>it is expected that there is no new Prod Vcenter in DNPC</t>
  </si>
  <si>
    <t>Cabling</t>
  </si>
  <si>
    <t>There were lots of FC Cables (~180) Pcs.)in the delivery. Does these Calbles fit for the whole Installation, or do Dell expect from DN to apply more Cables between Compute Nodes and ACI ?</t>
  </si>
  <si>
    <t>Digital SW and License Delivery</t>
  </si>
  <si>
    <t>How to handle the Software and License Delivery?</t>
  </si>
  <si>
    <t>Rackspace in the Datacenters</t>
  </si>
  <si>
    <t>Does the planned Rackspace from DN fits with the Dell Requirements</t>
  </si>
  <si>
    <t>Power Plugs in Racks</t>
  </si>
  <si>
    <t>does the available number of Power Plugs fits with the Requirements</t>
  </si>
  <si>
    <t>Concept for DR Replication</t>
  </si>
  <si>
    <t>Steel Class Storages need to replicate to the respective other Site</t>
  </si>
  <si>
    <t xml:space="preserve">Backup Concept </t>
  </si>
  <si>
    <t>What needs to Plan for the Backup Solution</t>
  </si>
  <si>
    <t>Dell Personell Onsite/Remote</t>
  </si>
  <si>
    <t>During the Solution Implementation, are there and Dell Personel onsite or Online to discuss issus with us?</t>
  </si>
  <si>
    <t>S.No</t>
  </si>
  <si>
    <t>Servers</t>
  </si>
  <si>
    <t>Type</t>
  </si>
  <si>
    <t>CPU</t>
  </si>
  <si>
    <t>RAM</t>
  </si>
  <si>
    <t>Space for OS</t>
  </si>
  <si>
    <t>NIC Count</t>
  </si>
  <si>
    <t>Connectivity Type1</t>
  </si>
  <si>
    <t>Connectivity Type2</t>
  </si>
  <si>
    <t>Connectivity Type3</t>
  </si>
  <si>
    <t>Connectivity Type4</t>
  </si>
  <si>
    <t>Quantity</t>
  </si>
  <si>
    <t>Physical</t>
  </si>
  <si>
    <t>Worker nodes</t>
  </si>
  <si>
    <t>2 socket 10 core each</t>
  </si>
  <si>
    <t>128 GB</t>
  </si>
  <si>
    <t>100 GB</t>
  </si>
  <si>
    <t>6-8 nics</t>
  </si>
  <si>
    <t>Management Bond</t>
  </si>
  <si>
    <t>VM Traffic</t>
  </si>
  <si>
    <t>Container Node NW</t>
  </si>
  <si>
    <t>SAN Connection</t>
  </si>
  <si>
    <t>Virtual/Physical(in case of Prod ready infra)</t>
  </si>
  <si>
    <t>Master nodes</t>
  </si>
  <si>
    <t>8 vCPUs</t>
  </si>
  <si>
    <t>32 GB</t>
  </si>
  <si>
    <t>2 nics</t>
  </si>
  <si>
    <t>NA</t>
  </si>
  <si>
    <t>Infrastructure nodes</t>
  </si>
  <si>
    <t>Virtual</t>
  </si>
  <si>
    <t>Bootstrap(temporary)</t>
  </si>
  <si>
    <t>Jump/Bastion</t>
  </si>
  <si>
    <t>VLAN/Bond Type</t>
  </si>
  <si>
    <t>Purpose</t>
  </si>
  <si>
    <t>VLAN</t>
  </si>
  <si>
    <t>Network</t>
  </si>
  <si>
    <t>Remarks</t>
  </si>
  <si>
    <t>Management VLAN</t>
  </si>
  <si>
    <t>To build OCP cluster</t>
  </si>
  <si>
    <t>100.65.242.0/24</t>
  </si>
  <si>
    <t>Network not empty!</t>
  </si>
  <si>
    <t>Worker node VLAN(optional)</t>
  </si>
  <si>
    <t>To add additional workerload Network for containers</t>
  </si>
  <si>
    <t>VM Traffic VLAN</t>
  </si>
  <si>
    <t>To add VLANs for VM traffic</t>
  </si>
  <si>
    <t>ACI</t>
  </si>
  <si>
    <t>SAN VLAN</t>
  </si>
  <si>
    <t>To add VLAN for SAN traffic</t>
  </si>
  <si>
    <t>100.65.243.0/24</t>
  </si>
  <si>
    <t>IP on Bond Type</t>
  </si>
  <si>
    <t>Management Ip</t>
  </si>
  <si>
    <t>To build OCP cluster. One for each node and one additional IP for bootstrap IP.</t>
  </si>
  <si>
    <t>Worker node VLAN</t>
  </si>
  <si>
    <t>To add additional workerload Network for containers. One for each node</t>
  </si>
  <si>
    <t>To add VLANs for VM traffic. One for each node</t>
  </si>
  <si>
    <t>To add VLAN for SAN traffic. One for each node</t>
  </si>
  <si>
    <t>F5 LB request to get the IPs for OCP API and API-Int connectivity</t>
  </si>
  <si>
    <t>URL Users will use to access the service</t>
  </si>
  <si>
    <t>Protocol/Port for users</t>
  </si>
  <si>
    <t>Front END IP</t>
  </si>
  <si>
    <t>Member Server IP address</t>
  </si>
  <si>
    <t>Protocol/Port Server listens on </t>
  </si>
  <si>
    <t>SSL Offloading (If yes please attach certificate)</t>
  </si>
  <si>
    <t>Monitoring (Default TCP port status) </t>
  </si>
  <si>
    <t>Load Balancing Method (Default Round Robin)</t>
  </si>
  <si>
    <t>api.dnpcpoc.test-dnpcloud.dieboldnixdorf.com
api-int.dnpcpoc.test-dnpcloud.dieboldnixdorf.com</t>
  </si>
  <si>
    <t>6443, 22623</t>
  </si>
  <si>
    <t> </t>
  </si>
  <si>
    <t>N/A</t>
  </si>
  <si>
    <t>Default</t>
  </si>
  <si>
    <t>Round Robin</t>
  </si>
  <si>
    <t>Passthrough(layer 4 routing)</t>
  </si>
  <si>
    <t>*.apps.dnpcpoc.test-dnpcloud.dieboldnixdorf.com</t>
  </si>
  <si>
    <t>SSL</t>
  </si>
  <si>
    <t>DNS Records</t>
  </si>
  <si>
    <t>Cluster</t>
  </si>
  <si>
    <t>Reqired for</t>
  </si>
  <si>
    <t>Node/LB</t>
  </si>
  <si>
    <t>Record (Reversed)</t>
  </si>
  <si>
    <t>Record Type</t>
  </si>
  <si>
    <t>IP</t>
  </si>
  <si>
    <t>MAC</t>
  </si>
  <si>
    <t>MAC + 1</t>
  </si>
  <si>
    <t>Clustername</t>
  </si>
  <si>
    <t>Load Balancer</t>
  </si>
  <si>
    <t>api.clutsername.dieboldnixdorf.com</t>
  </si>
  <si>
    <t>api.dnpcpoc.test-dnpcloud.dieboldnixdorf.com</t>
  </si>
  <si>
    <t>A + PTR</t>
  </si>
  <si>
    <t>100.65.242.236</t>
  </si>
  <si>
    <t>api-int.clustername.dieboldnixdorf.com</t>
  </si>
  <si>
    <t>api-int.dnpcpoc.test-dnpcloud.dieboldnixdorf.com</t>
  </si>
  <si>
    <t>*.apps.clustername.dieboldnixdorf.com</t>
  </si>
  <si>
    <t>A</t>
  </si>
  <si>
    <t>100.65.242.235</t>
  </si>
  <si>
    <t>Nodes</t>
  </si>
  <si>
    <t>bootstrap fqdn</t>
  </si>
  <si>
    <t>de04mgtlist016.test-dnpcloud.dieboldnixdorf.com</t>
  </si>
  <si>
    <t>100.65.242.99</t>
  </si>
  <si>
    <t>Jump/Bastion/Helper</t>
  </si>
  <si>
    <t>de03mgtlist015.test-dnpcloud.dieboldnixdorf.com</t>
  </si>
  <si>
    <t>100.65.242.234</t>
  </si>
  <si>
    <t>00:50:56:98:bc:37</t>
  </si>
  <si>
    <t>de04ocp-master1t</t>
  </si>
  <si>
    <t>de04mgtlapt031.test-dnpcloud.dieboldnixdorf.com</t>
  </si>
  <si>
    <t>100.65.242.101</t>
  </si>
  <si>
    <t>00:50:56:98:c1:1a</t>
  </si>
  <si>
    <t>de04ocp-master2t</t>
  </si>
  <si>
    <t>de04mgtlapt032.test-dnpcloud.dieboldnixdorf.com</t>
  </si>
  <si>
    <t>100.65.242.102</t>
  </si>
  <si>
    <t>00:50:56:98:bb:e5</t>
  </si>
  <si>
    <t>de04ocp-master3t</t>
  </si>
  <si>
    <t>de04mgtlapt033.test-dnpcloud.dieboldnixdorf.com</t>
  </si>
  <si>
    <t>100.65.242.103</t>
  </si>
  <si>
    <t>00:50:56:98:2a:31</t>
  </si>
  <si>
    <t>de04ocp-infra1t</t>
  </si>
  <si>
    <t>de04mgtlapt034.test-dnpcloud.dieboldnixdorf.com</t>
  </si>
  <si>
    <t>100.65.242.104</t>
  </si>
  <si>
    <t>00:50:56:98:21:9e</t>
  </si>
  <si>
    <t>de04ocp-infra2t</t>
  </si>
  <si>
    <t>de04mgtlapt035.test-dnpcloud.dieboldnixdorf.com</t>
  </si>
  <si>
    <t>100.65.242.105</t>
  </si>
  <si>
    <t>00:50:56:98:67:15</t>
  </si>
  <si>
    <t>de04ocp-infra3t</t>
  </si>
  <si>
    <t>de04mgtlapt036.test-dnpcloud.dieboldnixdorf.com</t>
  </si>
  <si>
    <t>100.65.242.106</t>
  </si>
  <si>
    <t>00:50:56:98:85:05</t>
  </si>
  <si>
    <t>de04ocp-worker1t</t>
  </si>
  <si>
    <t>de04fnd010ise31.test-dnpcloud.dieboldnixdorf.com</t>
  </si>
  <si>
    <t>100.65.242.107</t>
  </si>
  <si>
    <t>00:3a:7d:71:5c:ae</t>
  </si>
  <si>
    <t>af</t>
  </si>
  <si>
    <t>de04ocp-worker2t</t>
  </si>
  <si>
    <t>de04fnd010ise32.test-dnpcloud.dieboldnixdorf.com</t>
  </si>
  <si>
    <t>100.65.242.108</t>
  </si>
  <si>
    <t>00:78:88:a3:49:e4</t>
  </si>
  <si>
    <t>e5</t>
  </si>
  <si>
    <t>de04ocp-worker3t</t>
  </si>
  <si>
    <t>de04fnd010ise33.test-dnpcloud.dieboldnixdorf.com</t>
  </si>
  <si>
    <t>100.65.242.109</t>
  </si>
  <si>
    <t>00:42:68:6f:83:dc</t>
  </si>
  <si>
    <t>dd</t>
  </si>
  <si>
    <t>HW Management</t>
  </si>
  <si>
    <t>de04fnd010ise31-cimc.test-dnpcloud.dieboldnixdorf.com</t>
  </si>
  <si>
    <t>100.65.241.107</t>
  </si>
  <si>
    <t>de04fnd010ise32-cimc.test-dnpcloud.dieboldnixdorf.com</t>
  </si>
  <si>
    <t>100.65.241.108</t>
  </si>
  <si>
    <t>de04fnd010ise33-cimc.test-dnpcloud.dieboldnixdorf.com</t>
  </si>
  <si>
    <t>100.65.241.109</t>
  </si>
  <si>
    <t>Firewall rules</t>
  </si>
  <si>
    <t>OCP Related</t>
  </si>
  <si>
    <t>Source</t>
  </si>
  <si>
    <t>Destination</t>
  </si>
  <si>
    <t>Port</t>
  </si>
  <si>
    <t>Protocol</t>
  </si>
  <si>
    <t>DNS</t>
  </si>
  <si>
    <t>OCP Management subnet</t>
  </si>
  <si>
    <t>Domain controllers</t>
  </si>
  <si>
    <t>TCP and UDP</t>
  </si>
  <si>
    <t>NTP</t>
  </si>
  <si>
    <t>UDP</t>
  </si>
  <si>
    <t>OCP to VIP1</t>
  </si>
  <si>
    <t>VIP1</t>
  </si>
  <si>
    <t>6443
22623</t>
  </si>
  <si>
    <t>TCP</t>
  </si>
  <si>
    <t>OCP to VIP2</t>
  </si>
  <si>
    <t>VIP2</t>
  </si>
  <si>
    <t>VIP2 to OCP</t>
  </si>
  <si>
    <t>VIP1 to OCP</t>
  </si>
  <si>
    <t xml:space="preserve">End user access to OCP </t>
  </si>
  <si>
    <t>AD Security group</t>
  </si>
  <si>
    <t>End user access to OCP cluster API</t>
  </si>
  <si>
    <t>End user access to OCP cluster API internal</t>
  </si>
  <si>
    <t>OCP to proxy</t>
  </si>
  <si>
    <t>10.52.85.0/24</t>
  </si>
  <si>
    <t xml:space="preserve">Proxy </t>
  </si>
  <si>
    <t>OpenID related</t>
  </si>
  <si>
    <t>Direction</t>
  </si>
  <si>
    <t>Azure AD authentication (OAuth2)</t>
  </si>
  <si>
    <t>OpenShift API Server / OAuth Pod</t>
  </si>
  <si>
    <t>login.microsoftonline.com</t>
  </si>
  <si>
    <t>Outbound</t>
  </si>
  <si>
    <t>User info and group membership queries</t>
  </si>
  <si>
    <t>graph.microsoft.com</t>
  </si>
  <si>
    <t>Azure AD UI assets (optional)</t>
  </si>
  <si>
    <t>aadcdn.msftauth.net</t>
  </si>
  <si>
    <t>DNS resolution for</t>
  </si>
  <si>
    <t>DNS servers</t>
  </si>
  <si>
    <t>TCP/UDP</t>
  </si>
  <si>
    <t>SAN Related</t>
  </si>
  <si>
    <t>purpose</t>
  </si>
  <si>
    <t>port</t>
  </si>
  <si>
    <t>protocol</t>
  </si>
  <si>
    <t>Master node to SAN</t>
  </si>
  <si>
    <t>Master node IPs</t>
  </si>
  <si>
    <t>SAN IPs</t>
  </si>
  <si>
    <t>worker node to SAN</t>
  </si>
  <si>
    <t>Worker node IPs</t>
  </si>
  <si>
    <t>Infra node to SAN</t>
  </si>
  <si>
    <t xml:space="preserve">Infra node IPs </t>
  </si>
  <si>
    <t>Task #</t>
  </si>
  <si>
    <t>Start Date</t>
  </si>
  <si>
    <t>End Date</t>
  </si>
  <si>
    <t>Status</t>
  </si>
  <si>
    <t>Expected result</t>
  </si>
  <si>
    <t>Accountable Lead</t>
  </si>
  <si>
    <t>Team</t>
  </si>
  <si>
    <t>Effort (Days)</t>
  </si>
  <si>
    <t>Comments</t>
  </si>
  <si>
    <t>Dependencies</t>
  </si>
  <si>
    <t>Infrastructure</t>
  </si>
  <si>
    <t>Prepare Hardware for POC in DNPC Test</t>
  </si>
  <si>
    <t>24.10.2025</t>
  </si>
  <si>
    <t>27.10.2025</t>
  </si>
  <si>
    <t>Complete</t>
  </si>
  <si>
    <t>remove all old Content and Settings of DNPC Test Vmware to have a clean Environment for RHOS Installation</t>
  </si>
  <si>
    <t>Hardware is ready for Installation</t>
  </si>
  <si>
    <t>Juergen</t>
  </si>
  <si>
    <t>Documentation</t>
  </si>
  <si>
    <t xml:space="preserve">Create Network and Communication Plan for Initial Installation </t>
  </si>
  <si>
    <t xml:space="preserve">A Network Plan has to be created which conains Networks, Communication requirements, Directions, Port Numbers (VLANs) etc. </t>
  </si>
  <si>
    <t>ACI Network can be defined from this basic Plan</t>
  </si>
  <si>
    <t>Krishna</t>
  </si>
  <si>
    <t xml:space="preserve">Fill out the Network Sheet </t>
  </si>
  <si>
    <t>Existing Networks are already assigned to the Physical NICS. Assign proper Network Addresses requested in the Network Sheet. Add also DNS Entries to the DNS Server of DNPC Test</t>
  </si>
  <si>
    <t>All IP Adresses and DNS Entries are defined and configured</t>
  </si>
  <si>
    <t>Adrian</t>
  </si>
  <si>
    <t>Implementation</t>
  </si>
  <si>
    <t xml:space="preserve">Test Hardware Compatibility </t>
  </si>
  <si>
    <t>Hardware needs to be checked if it can be used for POC</t>
  </si>
  <si>
    <t>RedHat</t>
  </si>
  <si>
    <t>https://access.redhat.com/downloads/content/290/ver=4.20/rhel---9/4.20.0/x86_64/product-software</t>
  </si>
  <si>
    <t>Draw Architecture Picture</t>
  </si>
  <si>
    <t>A HLD Architecture Picture is needed for the POC</t>
  </si>
  <si>
    <t>HLD Architecture Picture xists</t>
  </si>
  <si>
    <t>juergen</t>
  </si>
  <si>
    <t>Create Management Client Networks</t>
  </si>
  <si>
    <t>the Management Client  Network needs to be created</t>
  </si>
  <si>
    <t>Managemnet Networks are defined in the POC</t>
  </si>
  <si>
    <t>Redhat</t>
  </si>
  <si>
    <t>Blocked by Storage Data Client Implementation</t>
  </si>
  <si>
    <t>Request ACI Network Creation</t>
  </si>
  <si>
    <t>Based on the Communication Plan, the ACI Network needs to be created</t>
  </si>
  <si>
    <t>ACI Network is defined on the APIC</t>
  </si>
  <si>
    <t>viktor</t>
  </si>
  <si>
    <t>Network Controller issue solved</t>
  </si>
  <si>
    <t>Request Firewall Rules</t>
  </si>
  <si>
    <t>Based on the Communication Plan, the FW Rules needs to be requested</t>
  </si>
  <si>
    <t xml:space="preserve">FW Rules are active for the EPG´s </t>
  </si>
  <si>
    <t>Jan</t>
  </si>
  <si>
    <t>AG-Group needs to be renamed - SMAX 143054847</t>
  </si>
  <si>
    <t>Prepare Virtual Hardware for Inital Control Planes and Rollout Environment</t>
  </si>
  <si>
    <t>Based on DNPC Vmware Platform, the virtual Hardware for RHOS has to be created including Networks, Storage etc..</t>
  </si>
  <si>
    <t>Virtual Hardware is ready for RHOS Installation</t>
  </si>
  <si>
    <t>External Support</t>
  </si>
  <si>
    <t>OpenShift Cluster Installation</t>
  </si>
  <si>
    <t>RedHat will guide/Follow the Basic Installation of the POC</t>
  </si>
  <si>
    <t>Basic Installation of POC is done</t>
  </si>
  <si>
    <t>RedHat/Team</t>
  </si>
  <si>
    <t xml:space="preserve">Installation was planned for 04.11.2025 - moved to later due Internet Major Incident </t>
  </si>
  <si>
    <t>ACI Intergration to Redhat OpenShift</t>
  </si>
  <si>
    <t>Blocked</t>
  </si>
  <si>
    <t>ACI is basically supporting RedHat openshift. A documentation and the Implementation has to be created</t>
  </si>
  <si>
    <t>APIC is connected to RHOS</t>
  </si>
  <si>
    <t>Viktor</t>
  </si>
  <si>
    <t>Blocked: apic upgrade needs to be done</t>
  </si>
  <si>
    <t>Dell Storage Connection to RHOS</t>
  </si>
  <si>
    <t>The PowerFlex Storage System needs to be integrated into RHOS using the Dell CSI Driver System</t>
  </si>
  <si>
    <t>the RHOS Installation is consuming Storage from the PowerFlex System</t>
  </si>
  <si>
    <t>Dell/RedHat</t>
  </si>
  <si>
    <t>Storage Architecture Discussion ongoing</t>
  </si>
  <si>
    <t>NetApp Storage Connection to RHOS</t>
  </si>
  <si>
    <t>NetApp Systems needs to be integrated into RHOS using the NetApp Trident Driver System</t>
  </si>
  <si>
    <t>the RHOS Installation is consuming Storage from the NetApp System</t>
  </si>
  <si>
    <t>Naresh</t>
  </si>
  <si>
    <t>Narender</t>
  </si>
  <si>
    <t>out of Scope for DNPC POC (No NetApp Systems anymore in DNPC)</t>
  </si>
  <si>
    <t>Procurement</t>
  </si>
  <si>
    <t>Virtual Migration Assessment (VMA)</t>
  </si>
  <si>
    <t>The Virtual Migration Assessment (VMA) needs to be ordered from RedHat</t>
  </si>
  <si>
    <t>RedHat helps us with HLD and Migration Plan</t>
  </si>
  <si>
    <t xml:space="preserve">Ordered. Purchase Order 4100571190 </t>
  </si>
  <si>
    <t xml:space="preserve">Firewall Rules for DNPC Test Jumpserver </t>
  </si>
  <si>
    <t>a Set of FW Rules needs to be defined and implemented between Jumpserver and RedHat Openshift Consoles</t>
  </si>
  <si>
    <t>a fresh Installation can be run from the Jumpserver</t>
  </si>
  <si>
    <t>New AG Group for POC to access DNPC test</t>
  </si>
  <si>
    <t>15.10.2025</t>
  </si>
  <si>
    <t>Creation of Group AG-DN-ADM-DNPC-PCI-ENGINEERING</t>
  </si>
  <si>
    <t>Engineering Team can access the Jumpserver</t>
  </si>
  <si>
    <t>Internal Prep</t>
  </si>
  <si>
    <t>Accounts for the Team Members needs to be created on the TEST-DNPCLOUD Domain</t>
  </si>
  <si>
    <t>A Domain Account for DNPC Test needs to be created, if not already there</t>
  </si>
  <si>
    <t>Team Members are able to join the DNPC Test environment</t>
  </si>
  <si>
    <t>DNPC Test Jumpserver</t>
  </si>
  <si>
    <t>Create a new Jumpserver in DNPC Test MGMT for POC activities</t>
  </si>
  <si>
    <t>A Dedicated Jumpserver is availabe in DNPC Test MGMT</t>
  </si>
  <si>
    <t>Michal</t>
  </si>
  <si>
    <t>POC Testing</t>
  </si>
  <si>
    <t>SFTP Private Repo</t>
  </si>
  <si>
    <t>For the Container Installation of the SDC Driver the CSI Driver needs SFTP Access to mft.dell.com. This Task is for Discussion/Installation of a Private SFTP Repo instead of having direct Internet Access (FW Rule)</t>
  </si>
  <si>
    <t>SDC Container is using a Private Repo</t>
  </si>
  <si>
    <t>Integrate vSphere infra to RHOS</t>
  </si>
  <si>
    <t xml:space="preserve">Need to integrate vSphere infra to RHOS </t>
  </si>
  <si>
    <t>By doing this we shall have visibility of Vsphere infra from RHOS perspective</t>
  </si>
  <si>
    <t>Prepare/build VMs for test migrations - ACI</t>
  </si>
  <si>
    <t>01.12.2025</t>
  </si>
  <si>
    <t>Need to build or prepeare VMs in integrated Vsphere infra</t>
  </si>
  <si>
    <t>These VMs will be used for test migrations</t>
  </si>
  <si>
    <t>Adrian/Naresh</t>
  </si>
  <si>
    <t>Prepare/build VMs for test migrations - classic</t>
  </si>
  <si>
    <t>YTS</t>
  </si>
  <si>
    <t>We need to find VM in the exisitng VMware Infrastructure which are right candidates to test the migration</t>
  </si>
  <si>
    <t>Implement migration plan and test the migration. VM should run as is once migrated to OpenShift</t>
  </si>
  <si>
    <t>Krishna/Naresh</t>
  </si>
  <si>
    <t>Build test cases to match what we do today in vSphere</t>
  </si>
  <si>
    <t>WIP</t>
  </si>
  <si>
    <t>These test cases will help to understand how can we improve once moved to RHOS</t>
  </si>
  <si>
    <t>Virtualization tasks'!A1</t>
  </si>
  <si>
    <t>Build test cases prove containerization service functionalities</t>
  </si>
  <si>
    <t>Identify the cases which need to be proved in POC</t>
  </si>
  <si>
    <t>We need to prove the test cases and provide related artifects</t>
  </si>
  <si>
    <t>License for POC</t>
  </si>
  <si>
    <t>Trial License has been expired, but POC is not finished</t>
  </si>
  <si>
    <t>New Subscription will be installed/Trial extendet</t>
  </si>
  <si>
    <t>Network communication for VMs - ACI</t>
  </si>
  <si>
    <t>We need to make sure the VMs traffic is running over dedicated bond on Openshift</t>
  </si>
  <si>
    <t>We need to make sure the VMs are migrated over dedicated bond on Openshift and once the VM is migrated it should run as is.</t>
  </si>
  <si>
    <t>Network communication for VMs - classic</t>
  </si>
  <si>
    <t>Network communication for contaners - classic</t>
  </si>
  <si>
    <t>We need to make sure the POD communication is running over dedicated bond on Openshift</t>
  </si>
  <si>
    <t>Network communication for contaners - ACI</t>
  </si>
  <si>
    <t>DR test -  Classic/Netapp</t>
  </si>
  <si>
    <t>DR test - ACI/Powerflex</t>
  </si>
  <si>
    <t>Build up a new Cluster in DC3 to test DR Functionality</t>
  </si>
  <si>
    <t>a very tiny Cluster in DC3 is available</t>
  </si>
  <si>
    <t>Check Apliance VMs compatibility with openshift</t>
  </si>
  <si>
    <t>PFM K8/Clodu Link/UCSD/algosec/ cBox/ LB/ FW etc support under openshift</t>
  </si>
  <si>
    <t>DELL SR: 222335620  PFM and CloudLink is supported and homologated</t>
  </si>
  <si>
    <t>POC</t>
  </si>
  <si>
    <t>Installation OCP cluster using Assisted Installation</t>
  </si>
  <si>
    <t>Install OCP cluster without the need for F5 load balancer for API connectivity</t>
  </si>
  <si>
    <t>Elemenating the need of external loadbalancer for 
management connectivity</t>
  </si>
  <si>
    <t>We were able to install the OCP cluster without F5 VIP. Will gather the artifects.</t>
  </si>
  <si>
    <t>Security</t>
  </si>
  <si>
    <t>Antivirus Integration with Containers</t>
  </si>
  <si>
    <t>Need to make sure all pods deployed are being scanned by Antivirus and container images are being scanned before getting used</t>
  </si>
  <si>
    <r>
      <rPr>
        <sz val="11"/>
        <color rgb="FF000000"/>
        <rFont val="Calibri"/>
        <scheme val="minor"/>
      </rPr>
      <t>Please find the update from Antivirus team(Jason Potts) on CrowdStrike Container and Container images Scanning:</t>
    </r>
    <r>
      <rPr>
        <i/>
        <sz val="11"/>
        <color rgb="FF000000"/>
        <rFont val="Calibri"/>
        <scheme val="minor"/>
      </rPr>
      <t>The only ETA we have is 2026. We will not move forward until we are ready and confident.</t>
    </r>
    <r>
      <rPr>
        <sz val="11"/>
        <color rgb="FF000000"/>
        <rFont val="Calibri"/>
        <scheme val="minor"/>
      </rPr>
      <t xml:space="preserve"> 
</t>
    </r>
  </si>
  <si>
    <t>Backup - PPDM and openshift</t>
  </si>
  <si>
    <t>POC	Backup - PPDM and openshift compatibility
Context: Standardize  backup tool for openshift technology
Scope: PPDM and Dell powerflex, excluded netapp
Steps:
- install PPDM
- configure PPDM - storage unit (DDVE mgt in test)
- install PPDM to openshift
- test backup and restore</t>
  </si>
  <si>
    <t>VM and containers backup/restore test is documented</t>
  </si>
  <si>
    <t>Miroslav</t>
  </si>
  <si>
    <t>Backup - netapp trident protect and openshift</t>
  </si>
  <si>
    <t>POC	Backup - Netapp TP and openshift compatibility
Context: Standardize  backup tool for openshift technology
Scope: netapp TP and netapp ontap filer, excluded Powerflex storage
Steps:
- install TP to openshift
- configure TP - secrets/application etc</t>
  </si>
  <si>
    <t>Ticket number</t>
  </si>
  <si>
    <t>Raised Date</t>
  </si>
  <si>
    <t>Raised by</t>
  </si>
  <si>
    <t xml:space="preserve">Escalated </t>
  </si>
  <si>
    <t>Responsiblity</t>
  </si>
  <si>
    <t>Problem</t>
  </si>
  <si>
    <t xml:space="preserve">Task Impacted </t>
  </si>
  <si>
    <t>Impact</t>
  </si>
  <si>
    <t>Ticket Result</t>
  </si>
  <si>
    <t>Responsibility</t>
  </si>
  <si>
    <t>OPEN</t>
  </si>
  <si>
    <t>DELL</t>
  </si>
  <si>
    <t>CLOSED</t>
  </si>
  <si>
    <t>DN</t>
  </si>
  <si>
    <t>SOLVED</t>
  </si>
  <si>
    <t>NOT DEFINED</t>
  </si>
  <si>
    <t>BLOCKED</t>
  </si>
  <si>
    <t>DELL &amp; DN</t>
  </si>
  <si>
    <t>Clean up</t>
  </si>
  <si>
    <t>DELL Workshop</t>
  </si>
  <si>
    <t>Finance</t>
  </si>
  <si>
    <t>Finance Operations</t>
  </si>
  <si>
    <t>HR</t>
  </si>
  <si>
    <t>Logistics</t>
  </si>
  <si>
    <t>Process Change</t>
  </si>
  <si>
    <t>Quality Gate</t>
  </si>
  <si>
    <t>SOW Quality Gate</t>
  </si>
  <si>
    <t>Testing</t>
  </si>
  <si>
    <t>Title</t>
  </si>
  <si>
    <t>Travel</t>
  </si>
  <si>
    <t>service</t>
  </si>
  <si>
    <t>change model</t>
  </si>
  <si>
    <t>workflows/tasks to be modfied and tested with dell</t>
  </si>
  <si>
    <t>resp</t>
  </si>
  <si>
    <t>Status in test</t>
  </si>
  <si>
    <t>Migration of WF to INT</t>
  </si>
  <si>
    <t>Status in prod</t>
  </si>
  <si>
    <t>VM</t>
  </si>
  <si>
    <t>MS EMEA - DNPC - Jump - Additional jump host with MFA for DN associates - non-privileged access</t>
  </si>
  <si>
    <t>test wf</t>
  </si>
  <si>
    <t>Not relevant, currently transition to DN Associates 2.0 concept - automation does not work</t>
  </si>
  <si>
    <t>MS EMEA - DNPC - Jump - Customer jump host configuration with MFA</t>
  </si>
  <si>
    <t>Marek B</t>
  </si>
  <si>
    <t>done</t>
  </si>
  <si>
    <t xml:space="preserve">done
</t>
  </si>
  <si>
    <t>MS EMEA - DNPC - Network - DNPC Application (VIP) deployment on the existing external Loadbalancer</t>
  </si>
  <si>
    <t>xml script update</t>
  </si>
  <si>
    <t>Marek H</t>
  </si>
  <si>
    <t>OK for Dell compute</t>
  </si>
  <si>
    <t>Peding LB migration in Prod</t>
  </si>
  <si>
    <t>MS EMEA - DNPC - Network - DNPC Application (VIP) deployment on the existing internal Loadbalancer</t>
  </si>
  <si>
    <t>MS EMEA - DNPC - Network - DNPC Create EPG for virtual workload</t>
  </si>
  <si>
    <t>OK for Cisco and Dell compute</t>
  </si>
  <si>
    <t>MS EMEA - DNPC - Network - External Loadbalancer and first application (VIP) deployment into a Tenant</t>
  </si>
  <si>
    <t>MS EMEA - DNPC - Network - Internal Loadbalancer and first application (VIP) deployment into a Tenant</t>
  </si>
  <si>
    <t>Add Tenant Oracle DB</t>
  </si>
  <si>
    <t>MS EMEA - DNPC - Security - Venafi certificate renewal</t>
  </si>
  <si>
    <t>OK</t>
  </si>
  <si>
    <t>Done</t>
  </si>
  <si>
    <t>Storage</t>
  </si>
  <si>
    <t>MS EMEA - DNPC - Storage - Add Network Attached Storage (NFS or CIFS)</t>
  </si>
  <si>
    <t>new-storage-NIC (done)
netapp-new-nfs(done)
netapp-new-cifs (done)
tenant storage parition creation (done)</t>
  </si>
  <si>
    <t>Tenant</t>
  </si>
  <si>
    <t>MS EMEA - DNPC - Tenant - Tenant creation</t>
  </si>
  <si>
    <t>tenant admin jump,
vulns scenner WF,
 deplyment vsec FW - need to test+update docu,
test wf new-tenant</t>
  </si>
  <si>
    <t>Jan, the man</t>
  </si>
  <si>
    <r>
      <rPr>
        <sz val="9"/>
        <color rgb="FF000000"/>
        <rFont val="Aptos Narrow"/>
        <family val="2"/>
      </rPr>
      <t xml:space="preserve">Tenant Admin Jump
- deployment OK
Vulnerability Scanner 
- deployment OK
vSEC FW deployemt
- deployment works, Docu updated
</t>
    </r>
    <r>
      <rPr>
        <sz val="9"/>
        <color rgb="FFFF0000"/>
        <rFont val="Aptos Narrow"/>
        <family val="2"/>
      </rPr>
      <t xml:space="preserve">
New Tenant 
-  testing done, adjustments performed</t>
    </r>
  </si>
  <si>
    <t>MS EMEA - DNPC - VIP - Virtual IP Address Allocation</t>
  </si>
  <si>
    <t>IP-reserve</t>
  </si>
  <si>
    <t>MS EMEA - DNPC - VM - Add RDS Role Service on Application Server</t>
  </si>
  <si>
    <t>UCSD WF</t>
  </si>
  <si>
    <t>MS EMEA - DNPC - VM - Create/Modify/Delete DRS Rule</t>
  </si>
  <si>
    <t>Create-DRSRule,
Set-DRSRule,
Delete-DRSRule</t>
  </si>
  <si>
    <t>MS EMEA - DNPC - VM - Performance Class Changing</t>
  </si>
  <si>
    <t>Set-PerformanceClass_v2</t>
  </si>
  <si>
    <t>MS EMEA - DNPC - VM - Virtual Disk adding</t>
  </si>
  <si>
    <t>New-VMwareDisk_v2</t>
  </si>
  <si>
    <t xml:space="preserve">done - adjusted, tested, working
</t>
  </si>
  <si>
    <t>will be done in LL task Swap Automation flows</t>
  </si>
  <si>
    <t>MS EMEA - DNPC - VM - Virtual disk enlarging</t>
  </si>
  <si>
    <t>Resize-VMvmwareDisk</t>
  </si>
  <si>
    <t>MS EMEA - DNPC - VM - Virtual Server decommission</t>
  </si>
  <si>
    <t>vm_delete</t>
  </si>
  <si>
    <t>MS EMEA - DNPC - VM - Virtual Server modification (vCPU/vRAM)</t>
  </si>
  <si>
    <t>Resize_CPU_RAM</t>
  </si>
  <si>
    <t>MS EMEA - DNPC - VM - Virtual Server provisioning</t>
  </si>
  <si>
    <t>New-VM
New-VM-Common
New-VM-MGMT</t>
  </si>
  <si>
    <t>New-VM - adjusted, tested, working
-Common - adjusted, tested, working
-MGMT - adjusdted, testing</t>
  </si>
  <si>
    <t>Tenant Name</t>
  </si>
  <si>
    <t>Tenant Acronym</t>
  </si>
  <si>
    <t>Test Available</t>
  </si>
  <si>
    <t>Production</t>
  </si>
  <si>
    <t>Phase 1</t>
  </si>
  <si>
    <t>Phase 2</t>
  </si>
  <si>
    <t>Phase 3</t>
  </si>
  <si>
    <t>Phase 4</t>
  </si>
  <si>
    <t>Phase 5</t>
  </si>
  <si>
    <t>Phase 6</t>
  </si>
  <si>
    <t>All Transact</t>
  </si>
  <si>
    <t>ALL</t>
  </si>
  <si>
    <t>yes</t>
  </si>
  <si>
    <t>ALL_IA/TA</t>
  </si>
  <si>
    <t>ALL_PA</t>
  </si>
  <si>
    <t>BAWAG</t>
  </si>
  <si>
    <t>BAW</t>
  </si>
  <si>
    <t>BAW_IA/TA</t>
  </si>
  <si>
    <t>BAW_PA</t>
  </si>
  <si>
    <t>​​Shared tenant for Benelux customers</t>
  </si>
  <si>
    <t>​BNL</t>
  </si>
  <si>
    <t>yes, Integration</t>
  </si>
  <si>
    <t>BNL_IA</t>
  </si>
  <si>
    <t>BNL_PA</t>
  </si>
  <si>
    <t>​BP Tenant</t>
  </si>
  <si>
    <t>​BPT</t>
  </si>
  <si>
    <t>BPT_TA</t>
  </si>
  <si>
    <t>BPT_PA</t>
  </si>
  <si>
    <t>​Configuration Management System</t>
  </si>
  <si>
    <t>​CMS</t>
  </si>
  <si>
    <t>CMS_TA</t>
  </si>
  <si>
    <t>CMS_PA</t>
  </si>
  <si>
    <t>Common</t>
  </si>
  <si>
    <t>COM</t>
  </si>
  <si>
    <t>DNPC Production</t>
  </si>
  <si>
    <t>no</t>
  </si>
  <si>
    <t>X</t>
  </si>
  <si>
    <t>Legend:</t>
  </si>
  <si>
    <t>Tenant has only one Bridge Domain, no segregation between Test and Prod</t>
  </si>
  <si>
    <t>C&amp;A</t>
  </si>
  <si>
    <t>CUA</t>
  </si>
  <si>
    <t>Yes</t>
  </si>
  <si>
    <t>CUA_TA/DA</t>
  </si>
  <si>
    <t>CUA_PA</t>
  </si>
  <si>
    <t>Tenant does not have any Virtual Ressources to Migrate, Infrastructure only</t>
  </si>
  <si>
    <t>Foundation Tenant internal</t>
  </si>
  <si>
    <t>FND</t>
  </si>
  <si>
    <t>Infrastructure Tenant only, no Virtual Ressources to Migrate</t>
  </si>
  <si>
    <t>ALL_XXX, ff.</t>
  </si>
  <si>
    <t xml:space="preserve">Name of Bridge Domain in Tenant: TA, DA or IA Indicates Test, Development or Intgegartion, PA indicates Prod </t>
  </si>
  <si>
    <t>​Hennes And Mauritz</t>
  </si>
  <si>
    <t>​HAM</t>
  </si>
  <si>
    <t>no, SIT only</t>
  </si>
  <si>
    <t>HAM_SIT</t>
  </si>
  <si>
    <t>HAM_PA</t>
  </si>
  <si>
    <t>​Manage Connect Prod</t>
  </si>
  <si>
    <t>​MCP</t>
  </si>
  <si>
    <t>MCP_PA</t>
  </si>
  <si>
    <t>​Manage Connect Test</t>
  </si>
  <si>
    <t>​MCT</t>
  </si>
  <si>
    <t>Test only</t>
  </si>
  <si>
    <t>MCT</t>
  </si>
  <si>
    <t>Radia DE03</t>
  </si>
  <si>
    <t>MSA</t>
  </si>
  <si>
    <t>MSA_PA</t>
  </si>
  <si>
    <t>DNPC Management</t>
  </si>
  <si>
    <t>MGTM</t>
  </si>
  <si>
    <t>Managed Service Multi Customer Environment DE Prod </t>
  </si>
  <si>
    <t>MSM</t>
  </si>
  <si>
    <t>MSM_TA</t>
  </si>
  <si>
    <t>MSM_PA/PD</t>
  </si>
  <si>
    <t>Manage Service Production</t>
  </si>
  <si>
    <t>MSP</t>
  </si>
  <si>
    <t>MSP_DZ</t>
  </si>
  <si>
    <t>MSP_PA</t>
  </si>
  <si>
    <t>Radia DE04</t>
  </si>
  <si>
    <t>MSR</t>
  </si>
  <si>
    <t>MSR_TA</t>
  </si>
  <si>
    <t>MSR_PA</t>
  </si>
  <si>
    <t>Manage Service Test </t>
  </si>
  <si>
    <t>MST</t>
  </si>
  <si>
    <t>MST_TA</t>
  </si>
  <si>
    <t>MST_TI/DZ</t>
  </si>
  <si>
    <t>Managed Services VynamicView</t>
  </si>
  <si>
    <t>MSV</t>
  </si>
  <si>
    <t>MSV_IA</t>
  </si>
  <si>
    <t>MSV_PA</t>
  </si>
  <si>
    <t>Oracle</t>
  </si>
  <si>
    <t>ORA</t>
  </si>
  <si>
    <t>Oracle for Test and Integration Workloads</t>
  </si>
  <si>
    <t>ORT</t>
  </si>
  <si>
    <t>Proof of Concept</t>
  </si>
  <si>
    <t>Test Tenant</t>
  </si>
  <si>
    <t>​Remote Desktop Services for EMEA</t>
  </si>
  <si>
    <t>​RDE</t>
  </si>
  <si>
    <t>RDE_PA</t>
  </si>
  <si>
    <t>​Rossmann</t>
  </si>
  <si>
    <t>​ROS</t>
  </si>
  <si>
    <t>ROS_TA</t>
  </si>
  <si>
    <t>ROS_PA</t>
  </si>
  <si>
    <t>​Security Shared Tenant</t>
  </si>
  <si>
    <t>​SST</t>
  </si>
  <si>
    <t>SST_TA/IA</t>
  </si>
  <si>
    <t>SST_PA</t>
  </si>
  <si>
    <t>Network Tenant internal</t>
  </si>
  <si>
    <t>TE1</t>
  </si>
  <si>
    <t>DNPC Integration</t>
  </si>
  <si>
    <t>​MS Vynamic transcation engine 1</t>
  </si>
  <si>
    <t>​TM1</t>
  </si>
  <si>
    <t>TM1_TA</t>
  </si>
  <si>
    <t>TM1_PA</t>
  </si>
  <si>
    <t>​Transaction Middleware 2</t>
  </si>
  <si>
    <t>​TM2</t>
  </si>
  <si>
    <t>TM2_PA</t>
  </si>
  <si>
    <t>​Transaction Middleware 3</t>
  </si>
  <si>
    <t>​TM3</t>
  </si>
  <si>
    <t>TM3_TA</t>
  </si>
  <si>
    <t>TM3_PA</t>
  </si>
  <si>
    <t>​Transaction Middleware 4</t>
  </si>
  <si>
    <t>​TM4</t>
  </si>
  <si>
    <t>TM4_TA</t>
  </si>
  <si>
    <t>TM4_PA</t>
  </si>
  <si>
    <t>TN2</t>
  </si>
  <si>
    <t>Triumph</t>
  </si>
  <si>
    <t>TRI</t>
  </si>
  <si>
    <t>TRI_TA/DA</t>
  </si>
  <si>
    <t>TRI_PA</t>
  </si>
  <si>
    <t>Total Machines per Phase</t>
  </si>
  <si>
    <t>Total Number of Machines is not accurate, because it is subject of dayli changes!</t>
  </si>
  <si>
    <t>Estimatet Runtime per Phase</t>
  </si>
  <si>
    <t>RedHat OpenShift Virtualization items (with documentation and proof)</t>
  </si>
  <si>
    <t>Virtualization task:</t>
  </si>
  <si>
    <t>Task Description</t>
  </si>
  <si>
    <t>Expected Result</t>
  </si>
  <si>
    <t>Create Project / Namespace</t>
  </si>
  <si>
    <t>Create namespace</t>
  </si>
  <si>
    <t>created project OC</t>
  </si>
  <si>
    <t>10.2.2026</t>
  </si>
  <si>
    <t>Create a VM + all requirements to storage + network</t>
  </si>
  <si>
    <t>all necessary components for VMs</t>
  </si>
  <si>
    <t>build VM</t>
  </si>
  <si>
    <t>Start, Stop, Restart VM &amp; POD</t>
  </si>
  <si>
    <t>Operation task</t>
  </si>
  <si>
    <t>simulate VM and POD restart + monitoring</t>
  </si>
  <si>
    <t>Add, Remove, Resize disk</t>
  </si>
  <si>
    <t>Opration to increase VM performance and LUN</t>
  </si>
  <si>
    <t>Move disk between VMs</t>
  </si>
  <si>
    <t>Attach disk / LUN to VM, PV</t>
  </si>
  <si>
    <t>Moving a Virtual Machine Between Projects / unmount VM</t>
  </si>
  <si>
    <t>Create, delete VM + related datastores</t>
  </si>
  <si>
    <t>Increase CPU,RAM, DISK</t>
  </si>
  <si>
    <t>VM Migration from VMware to OpenShift</t>
  </si>
  <si>
    <t>Importing and cloning existing virtual machines</t>
  </si>
  <si>
    <t>Disk VM Datastore Labeling</t>
  </si>
  <si>
    <t>Create Datastore disk (persistent volume)</t>
  </si>
  <si>
    <t>PersistentVolumeClaims</t>
  </si>
  <si>
    <t>StorageClasses Gold, Silver, Bronze</t>
  </si>
  <si>
    <t>IOPS setup StorageClasses &amp; VMs</t>
  </si>
  <si>
    <t>VM Snapshot – Recovery</t>
  </si>
  <si>
    <t>Volume snapshots</t>
  </si>
  <si>
    <t>Templates migration from VMware Win 2016, Win 2019, RHL, OEL</t>
  </si>
  <si>
    <t>Install VM from template</t>
  </si>
  <si>
    <t>Modify templates, Patching templates – Lifecycle</t>
  </si>
  <si>
    <t>Managing Linux and Windows virtual machines (VMs)</t>
  </si>
  <si>
    <t>Running Guest Agent</t>
  </si>
  <si>
    <t>Affinity rules</t>
  </si>
  <si>
    <t>Connecting to virtual machines through a variety of consoles and CLI tools</t>
  </si>
  <si>
    <t>Managing network interface controllers and storage disks attached to virtual machine</t>
  </si>
  <si>
    <t xml:space="preserve">Live migrating virtual machines between nodes </t>
  </si>
  <si>
    <t>Login to OpenShift / Token</t>
  </si>
  <si>
    <t>Grant a User Permissions in a Project</t>
  </si>
  <si>
    <t>Define Access roles</t>
  </si>
  <si>
    <t>VLAN, EPG definitions in OpenShift</t>
  </si>
  <si>
    <t>VLAN assignment to VMs</t>
  </si>
  <si>
    <t>Attach new network card</t>
  </si>
  <si>
    <t>Define Uplinks</t>
  </si>
  <si>
    <t>DC Certificate installation to OpenShift</t>
  </si>
  <si>
    <t>SSO AD Loging OpenID</t>
  </si>
  <si>
    <t>High availability / Node Remediation</t>
  </si>
  <si>
    <t>DRS Descheduler Operator</t>
  </si>
  <si>
    <t>VM Load Balancing</t>
  </si>
  <si>
    <t>Rack Level Availability</t>
  </si>
  <si>
    <t>OpenShift Backup and Restore</t>
  </si>
  <si>
    <t>OpenShift management Tools installation</t>
  </si>
  <si>
    <t xml:space="preserve">OC Nodes Maintenance </t>
  </si>
  <si>
    <t>Checkmk Monitoring</t>
  </si>
  <si>
    <t>System Log monitoring</t>
  </si>
  <si>
    <t>Install the Dell NetApp Trident CSM Operator</t>
  </si>
  <si>
    <t xml:space="preserve">How to Find VM resources: </t>
  </si>
  <si>
    <t>Find: IP</t>
  </si>
  <si>
    <t>Find: VM in Namespace</t>
  </si>
  <si>
    <t>Find / List VM in All namespaces</t>
  </si>
  <si>
    <t>List StorageClasses</t>
  </si>
  <si>
    <t>List all PersistentVolumes:</t>
  </si>
  <si>
    <t>List all PersistentVolumeClaims (PVCs)</t>
  </si>
  <si>
    <t>PVCs related to a specific VM:</t>
  </si>
  <si>
    <t>Relationships (VM → DV → PVC)</t>
  </si>
  <si>
    <t>Get VM IP address (via VMI)</t>
  </si>
  <si>
    <t>View all interfaces of a VM</t>
  </si>
  <si>
    <t xml:space="preserve">Routes </t>
  </si>
  <si>
    <t>Worker Node Location (Which node the VM is running on)</t>
  </si>
  <si>
    <t>Get All VM-Related Resources</t>
  </si>
  <si>
    <t>Network policies</t>
  </si>
  <si>
    <t>cBOX deployment</t>
  </si>
  <si>
    <t>Migration Toolkit for Virtualization (MTV)</t>
  </si>
  <si>
    <t>8.2.2026</t>
  </si>
  <si>
    <t>9.2.2026</t>
  </si>
  <si>
    <t>S. NO</t>
  </si>
  <si>
    <t>Task Name</t>
  </si>
  <si>
    <t>Create Namespace/Project</t>
  </si>
  <si>
    <t>We should be able to create Namespace</t>
  </si>
  <si>
    <t>The namespace should be visible to Team who have deployed</t>
  </si>
  <si>
    <t>RBAC on the Namspace</t>
  </si>
  <si>
    <t>Should be able to apply RBAC</t>
  </si>
  <si>
    <t>The respective team should have access to respective Namespces only</t>
  </si>
  <si>
    <t>Pod Network configuration</t>
  </si>
  <si>
    <t>Pod Network should be configured on dedicated bond</t>
  </si>
  <si>
    <t>The pod communication should happen over dedicated bond</t>
  </si>
  <si>
    <t xml:space="preserve">Network Security policy </t>
  </si>
  <si>
    <t xml:space="preserve">Default deny all policy for all pods </t>
  </si>
  <si>
    <t>Both Ingress and Egress Trafiic should be denied within the namespace and cross namespace</t>
  </si>
  <si>
    <t>Secrets</t>
  </si>
  <si>
    <t>Create a secret</t>
  </si>
  <si>
    <t>We should be able to inject the confidential data into pods</t>
  </si>
  <si>
    <t>Secondary Network security policy</t>
  </si>
  <si>
    <t>To allow communication across pods which needed communication</t>
  </si>
  <si>
    <t>pods which are needed to communicate with on the namespace or other namespace whould talk to each other</t>
  </si>
  <si>
    <t>Pod Security Admission</t>
  </si>
  <si>
    <t xml:space="preserve">Implement SCC so that pod deployment with privilaged access is restricted </t>
  </si>
  <si>
    <t>The SCCs should not allow pod deployment which requires previlaged access</t>
  </si>
  <si>
    <t>Replicas</t>
  </si>
  <si>
    <t>define the number of replicas for anapplication for fault tolerance</t>
  </si>
  <si>
    <t>The number of replicas should be maintained always. even a pod is deleted a new related pod should created aurtomatically to maintain number of replicas</t>
  </si>
  <si>
    <t>Horizontal Pod scaling</t>
  </si>
  <si>
    <t>Increase/decrease the number of pods as per requirement</t>
  </si>
  <si>
    <t>The number of pods should be above the minimum count when the resource utilization in high and once the utilization is normal oe geting reduced the pod count should be decreasing as per defined monitoring intervel</t>
  </si>
  <si>
    <t>Vertical Pod scaling</t>
  </si>
  <si>
    <t>Increase/decrease the pods resources as per requiment</t>
  </si>
  <si>
    <t>the Pod resource requests and Limits should be changed as per resource utilization</t>
  </si>
  <si>
    <t>Exposure of Service via Ingress controller</t>
  </si>
  <si>
    <t>We should be able to expose a service via ingress controller using OCP routes</t>
  </si>
  <si>
    <t>The service should be able to communicate from other defined networks</t>
  </si>
  <si>
    <t>TLS Termination for Apps</t>
  </si>
  <si>
    <t>SSL should be terminated on backend servers for end to end encrypted communication</t>
  </si>
  <si>
    <t>connect second NIC to POD</t>
  </si>
  <si>
    <t>Using Multus connect second NIC to Pod</t>
  </si>
  <si>
    <t>Secondary NIC should be added to pod for Network Isolation</t>
  </si>
  <si>
    <t>Persistence Volume Claims</t>
  </si>
  <si>
    <t>Add Persistence volume claims to pods</t>
  </si>
  <si>
    <t>Pods should see the PVCs and able to read/write on it</t>
  </si>
  <si>
    <t>Data Persistence on pod deletion/restarts</t>
  </si>
  <si>
    <t>Data should be as is even when the pod is deleted/recreated/restarted</t>
  </si>
  <si>
    <t>Storage class performace</t>
  </si>
  <si>
    <t>Stouldbe able to test Storage class performance</t>
  </si>
  <si>
    <t>The output should match the number or IOPs and troughput</t>
  </si>
  <si>
    <t>Storge traffic via dedicated bond</t>
  </si>
  <si>
    <t>We need to make sure that we are able to get the PVCs on dedicated bond</t>
  </si>
  <si>
    <t>OCP Floating IP Failover</t>
  </si>
  <si>
    <t>Once the master node containing the floating IP is down, the floating IP should be assigned to next available master node</t>
  </si>
  <si>
    <t>Prometheus Metric sraping</t>
  </si>
  <si>
    <t>Prometheus should scrape the reource utilization details from /metrics</t>
  </si>
  <si>
    <t>Alerting</t>
  </si>
  <si>
    <t>Configure Alert Manager</t>
  </si>
  <si>
    <t>Make sure Alerts are being received once the configured Threshold is reached.</t>
  </si>
  <si>
    <t>Priority</t>
  </si>
  <si>
    <t>Prio 1</t>
  </si>
  <si>
    <t>Prio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</si>
</sst>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
    <numFmt numFmtId="165" formatCode="#,##0.00\ &quot;hrs.&quot;"/>
  </numFmts>
  <fonts count="36" x14ac:knownFonts="1">
    <font>
      <sz val="11"/>
      <color theme="1"/>
      <name val="Calibri"/>
      <family val="2"/>
      <scheme val="minor"/>
    </font>
    <font>
      <sz val="11"/>
      <color theme="1"/>
      <name val="Calibri"/>
      <family val="2"/>
      <scheme val="minor"/>
    </font>
    <font>
      <sz val="11"/>
      <color theme="1"/>
      <name val="Calibri"/>
      <family val="2"/>
      <scheme val="minor"/>
    </font>
    <font>
      <sz val="11"/>
      <color rgb="FF006100"/>
      <name val="Calibri"/>
      <family val="2"/>
      <scheme val="minor"/>
    </font>
    <font>
      <sz val="11"/>
      <color rgb="FF9C5700"/>
      <name val="Calibri"/>
      <family val="2"/>
      <scheme val="minor"/>
    </font>
    <font>
      <b/>
      <sz val="11"/>
      <color theme="1"/>
      <name val="Calibri"/>
      <family val="2"/>
      <scheme val="minor"/>
    </font>
    <font>
      <b/>
      <sz val="11"/>
      <color rgb="FF000000"/>
      <name val="Calibri"/>
      <family val="2"/>
      <scheme val="minor"/>
    </font>
    <font>
      <sz val="11"/>
      <color rgb="FF000000"/>
      <name val="Calibri"/>
      <family val="2"/>
      <scheme val="minor"/>
    </font>
    <font>
      <sz val="11"/>
      <color rgb="FF000000"/>
      <name val="Calibri"/>
      <family val="2"/>
    </font>
    <font>
      <sz val="11"/>
      <color rgb="FF9C0006"/>
      <name val="Calibri"/>
      <family val="2"/>
      <scheme val="minor"/>
    </font>
    <font>
      <sz val="11"/>
      <color theme="1"/>
      <name val="Calibri"/>
      <family val="2"/>
    </font>
    <font>
      <b/>
      <sz val="11"/>
      <color theme="0"/>
      <name val="Calibri"/>
      <family val="2"/>
      <scheme val="minor"/>
    </font>
    <font>
      <sz val="10"/>
      <color rgb="FF1C4269"/>
      <name val="Aptos Narrow"/>
      <family val="2"/>
    </font>
    <font>
      <sz val="11"/>
      <color rgb="FF000000"/>
      <name val="Aptos Narrow"/>
      <family val="2"/>
    </font>
    <font>
      <b/>
      <sz val="10"/>
      <color theme="0"/>
      <name val="Segoe UI"/>
      <family val="2"/>
      <charset val="1"/>
    </font>
    <font>
      <sz val="10"/>
      <color theme="1"/>
      <name val="Calibri"/>
      <family val="2"/>
      <scheme val="minor"/>
    </font>
    <font>
      <sz val="11"/>
      <color rgb="FF242424"/>
      <name val="Calibri"/>
      <family val="2"/>
    </font>
    <font>
      <sz val="11"/>
      <color theme="1"/>
      <name val="Aptos Narrow"/>
      <family val="2"/>
    </font>
    <font>
      <u/>
      <sz val="11"/>
      <color theme="10"/>
      <name val="Calibri"/>
      <family val="2"/>
      <scheme val="minor"/>
    </font>
    <font>
      <sz val="11"/>
      <name val="Calibri"/>
      <family val="2"/>
      <scheme val="minor"/>
    </font>
    <font>
      <sz val="11"/>
      <color rgb="FF242424"/>
      <name val="Aptos Narrow"/>
      <family val="2"/>
    </font>
    <font>
      <sz val="10"/>
      <color rgb="FF000000"/>
      <name val="Arial"/>
      <family val="2"/>
    </font>
    <font>
      <b/>
      <sz val="11"/>
      <color rgb="FF006100"/>
      <name val="Calibri"/>
      <family val="2"/>
      <scheme val="minor"/>
    </font>
    <font>
      <b/>
      <sz val="11"/>
      <color rgb="FF000000"/>
      <name val="Aptos Narrow"/>
      <family val="2"/>
    </font>
    <font>
      <sz val="9"/>
      <color rgb="FFFF0000"/>
      <name val="Aptos Narrow"/>
      <family val="2"/>
    </font>
    <font>
      <sz val="9"/>
      <color rgb="FF000000"/>
      <name val="Aptos Narrow"/>
      <family val="2"/>
    </font>
    <font>
      <sz val="14"/>
      <color theme="1"/>
      <name val="Calibri"/>
      <family val="2"/>
      <scheme val="minor"/>
    </font>
    <font>
      <sz val="11"/>
      <color theme="1"/>
      <name val="Calibri"/>
      <family val="2"/>
      <scheme val="minor"/>
    </font>
    <font>
      <b/>
      <sz val="16"/>
      <color theme="1"/>
      <name val="Calibri"/>
      <family val="2"/>
      <scheme val="minor"/>
    </font>
    <font>
      <sz val="10"/>
      <color rgb="FF000000"/>
      <name val="Aptos Display"/>
      <family val="2"/>
    </font>
    <font>
      <u/>
      <sz val="10"/>
      <color rgb="FF000000"/>
      <name val="Aptos Display"/>
      <family val="2"/>
    </font>
    <font>
      <sz val="11"/>
      <color rgb="FF000000"/>
      <name val="Arial"/>
      <family val="2"/>
    </font>
    <font>
      <sz val="8"/>
      <name val="Calibri"/>
      <family val="2"/>
      <scheme val="minor"/>
    </font>
    <font>
      <b/>
      <sz val="14"/>
      <color theme="1"/>
      <name val="Calibri"/>
      <family val="2"/>
      <scheme val="minor"/>
    </font>
    <font>
      <sz val="11"/>
      <color rgb="FF000000"/>
      <name val="Calibri"/>
      <scheme val="minor"/>
    </font>
    <font>
      <i/>
      <sz val="11"/>
      <color rgb="FF000000"/>
      <name val="Calibri"/>
      <scheme val="minor"/>
    </font>
  </fonts>
  <fills count="14">
    <fill>
      <patternFill patternType="none"/>
    </fill>
    <fill>
      <patternFill patternType="gray125"/>
    </fill>
    <fill>
      <patternFill patternType="solid">
        <fgColor rgb="FFC6EFCE"/>
      </patternFill>
    </fill>
    <fill>
      <patternFill patternType="solid">
        <fgColor rgb="FFFFEB9C"/>
      </patternFill>
    </fill>
    <fill>
      <patternFill patternType="solid">
        <fgColor rgb="FFFFC7CE"/>
      </patternFill>
    </fill>
    <fill>
      <patternFill patternType="solid">
        <fgColor theme="4" tint="0.79998168889431442"/>
        <bgColor indexed="65"/>
      </patternFill>
    </fill>
    <fill>
      <patternFill patternType="solid">
        <fgColor theme="5" tint="0.79998168889431442"/>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rgb="FFFF0000"/>
        <bgColor indexed="64"/>
      </patternFill>
    </fill>
    <fill>
      <patternFill patternType="solid">
        <fgColor theme="2"/>
        <bgColor indexed="64"/>
      </patternFill>
    </fill>
    <fill>
      <patternFill patternType="solid">
        <fgColor theme="0"/>
        <bgColor indexed="64"/>
      </patternFill>
    </fill>
    <fill>
      <patternFill patternType="solid">
        <fgColor rgb="FF00B050"/>
        <bgColor indexed="64"/>
      </patternFill>
    </fill>
    <fill>
      <patternFill patternType="solid">
        <fgColor rgb="FFFFFF00"/>
        <bgColor indexed="64"/>
      </patternFill>
    </fill>
  </fills>
  <borders count="25">
    <border>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
      <left/>
      <right style="thin">
        <color rgb="FF000000"/>
      </right>
      <top style="thin">
        <color rgb="FF000000"/>
      </top>
      <bottom/>
      <diagonal/>
    </border>
    <border>
      <left/>
      <right/>
      <top/>
      <bottom style="thin">
        <color indexed="64"/>
      </bottom>
      <diagonal/>
    </border>
  </borders>
  <cellStyleXfs count="8">
    <xf numFmtId="0" fontId="0" fillId="0" borderId="0"/>
    <xf numFmtId="0" fontId="3" fillId="2" borderId="0" applyNumberFormat="0" applyBorder="0" applyAlignment="0" applyProtection="0"/>
    <xf numFmtId="0" fontId="4" fillId="3" borderId="0" applyNumberFormat="0" applyBorder="0" applyAlignment="0" applyProtection="0"/>
    <xf numFmtId="0" fontId="9"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18" fillId="0" borderId="0" applyNumberFormat="0" applyFill="0" applyBorder="0" applyAlignment="0" applyProtection="0"/>
    <xf numFmtId="9" fontId="27" fillId="0" borderId="0" applyFont="0" applyFill="0" applyBorder="0" applyAlignment="0" applyProtection="0"/>
  </cellStyleXfs>
  <cellXfs count="269">
    <xf numFmtId="0" fontId="0" fillId="0" borderId="0" xfId="0"/>
    <xf numFmtId="0" fontId="0" fillId="0" borderId="0" xfId="0" applyAlignment="1">
      <alignment horizontal="center"/>
    </xf>
    <xf numFmtId="0" fontId="0" fillId="0" borderId="0" xfId="0"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xf numFmtId="0" fontId="0" fillId="0" borderId="0" xfId="0" applyAlignment="1">
      <alignment wrapText="1"/>
    </xf>
    <xf numFmtId="0" fontId="0" fillId="0" borderId="0" xfId="0" applyAlignment="1">
      <alignment horizontal="center" vertical="center"/>
    </xf>
    <xf numFmtId="0" fontId="5" fillId="0" borderId="3" xfId="0" applyFont="1" applyBorder="1" applyAlignment="1">
      <alignment horizontal="center" vertical="center"/>
    </xf>
    <xf numFmtId="0" fontId="6" fillId="0" borderId="4" xfId="0" applyFont="1" applyBorder="1" applyAlignment="1">
      <alignment horizontal="center" vertical="center"/>
    </xf>
    <xf numFmtId="0" fontId="0" fillId="0" borderId="4" xfId="0" applyBorder="1" applyAlignment="1">
      <alignment horizontal="left" vertical="center" wrapText="1"/>
    </xf>
    <xf numFmtId="0" fontId="0" fillId="0" borderId="4" xfId="0" applyBorder="1" applyAlignment="1">
      <alignment horizontal="left" vertical="top" wrapText="1"/>
    </xf>
    <xf numFmtId="0" fontId="0" fillId="0" borderId="4" xfId="0" applyBorder="1"/>
    <xf numFmtId="0" fontId="0" fillId="0" borderId="0" xfId="0" applyAlignment="1">
      <alignment horizontal="right" vertical="center"/>
    </xf>
    <xf numFmtId="0" fontId="0" fillId="0" borderId="0" xfId="0" applyAlignment="1">
      <alignment horizontal="left" vertical="center"/>
    </xf>
    <xf numFmtId="0" fontId="19" fillId="0" borderId="1" xfId="1" applyFont="1" applyFill="1" applyBorder="1" applyAlignment="1">
      <alignment horizontal="center" vertical="center" wrapText="1"/>
    </xf>
    <xf numFmtId="0" fontId="14" fillId="0" borderId="5" xfId="0" applyFont="1" applyBorder="1"/>
    <xf numFmtId="0" fontId="14" fillId="0" borderId="6" xfId="0" applyFont="1" applyBorder="1"/>
    <xf numFmtId="0" fontId="14" fillId="0" borderId="6" xfId="0" applyFont="1" applyBorder="1" applyAlignment="1">
      <alignment horizontal="center" vertical="center"/>
    </xf>
    <xf numFmtId="0" fontId="11" fillId="0" borderId="6" xfId="1" applyFont="1" applyFill="1" applyBorder="1" applyAlignment="1">
      <alignment horizontal="center" vertical="center"/>
    </xf>
    <xf numFmtId="0" fontId="11" fillId="0" borderId="6" xfId="3" applyFont="1" applyFill="1" applyBorder="1" applyAlignment="1">
      <alignment horizontal="center" vertical="center"/>
    </xf>
    <xf numFmtId="0" fontId="14" fillId="7" borderId="6" xfId="0" applyFont="1" applyFill="1" applyBorder="1" applyAlignment="1">
      <alignment horizontal="center" vertical="center"/>
    </xf>
    <xf numFmtId="0" fontId="14" fillId="7" borderId="7" xfId="0" applyFont="1" applyFill="1" applyBorder="1" applyAlignment="1">
      <alignment horizontal="center" vertical="center"/>
    </xf>
    <xf numFmtId="0" fontId="12" fillId="0" borderId="8" xfId="0" applyFont="1" applyBorder="1"/>
    <xf numFmtId="0" fontId="12" fillId="0" borderId="4" xfId="0" applyFont="1" applyBorder="1"/>
    <xf numFmtId="0" fontId="13" fillId="0" borderId="4" xfId="0" applyFont="1" applyBorder="1"/>
    <xf numFmtId="0" fontId="13" fillId="0" borderId="4" xfId="0" applyFont="1" applyBorder="1" applyAlignment="1">
      <alignment horizontal="center" vertical="center"/>
    </xf>
    <xf numFmtId="0" fontId="17" fillId="0" borderId="4" xfId="0" applyFont="1" applyBorder="1" applyAlignment="1">
      <alignment horizontal="center" vertical="center"/>
    </xf>
    <xf numFmtId="0" fontId="17" fillId="0" borderId="4" xfId="1" applyFont="1" applyFill="1" applyBorder="1" applyAlignment="1">
      <alignment horizontal="center" vertical="center"/>
    </xf>
    <xf numFmtId="0" fontId="17" fillId="8" borderId="4" xfId="3" applyFont="1" applyFill="1" applyBorder="1" applyAlignment="1">
      <alignment horizontal="center" vertical="center"/>
    </xf>
    <xf numFmtId="0" fontId="17" fillId="8" borderId="9" xfId="0" applyFont="1" applyFill="1" applyBorder="1" applyAlignment="1">
      <alignment horizontal="center" vertical="center"/>
    </xf>
    <xf numFmtId="0" fontId="17" fillId="0" borderId="4" xfId="3" applyFont="1" applyFill="1" applyBorder="1" applyAlignment="1">
      <alignment horizontal="center" vertical="center"/>
    </xf>
    <xf numFmtId="0" fontId="17" fillId="0" borderId="9" xfId="0" applyFont="1" applyBorder="1" applyAlignment="1">
      <alignment horizontal="center" vertical="center"/>
    </xf>
    <xf numFmtId="0" fontId="17" fillId="8" borderId="4" xfId="0" applyFont="1" applyFill="1" applyBorder="1" applyAlignment="1">
      <alignment horizontal="center" vertical="center"/>
    </xf>
    <xf numFmtId="0" fontId="17" fillId="9" borderId="4" xfId="0" applyFont="1" applyFill="1" applyBorder="1" applyAlignment="1">
      <alignment horizontal="center" vertical="center"/>
    </xf>
    <xf numFmtId="0" fontId="17" fillId="9" borderId="9" xfId="0" applyFont="1" applyFill="1" applyBorder="1" applyAlignment="1">
      <alignment horizontal="center" vertical="center"/>
    </xf>
    <xf numFmtId="0" fontId="17" fillId="8" borderId="4" xfId="1" applyFont="1" applyFill="1" applyBorder="1" applyAlignment="1">
      <alignment horizontal="center" vertical="center"/>
    </xf>
    <xf numFmtId="0" fontId="17" fillId="8" borderId="9" xfId="1" applyFont="1" applyFill="1" applyBorder="1" applyAlignment="1">
      <alignment horizontal="center" vertical="center"/>
    </xf>
    <xf numFmtId="0" fontId="12" fillId="0" borderId="10" xfId="0" applyFont="1" applyBorder="1"/>
    <xf numFmtId="0" fontId="12" fillId="0" borderId="11" xfId="0" applyFont="1" applyBorder="1"/>
    <xf numFmtId="0" fontId="13" fillId="0" borderId="11" xfId="0" applyFont="1" applyBorder="1"/>
    <xf numFmtId="0" fontId="13" fillId="0" borderId="11" xfId="0" applyFont="1" applyBorder="1" applyAlignment="1">
      <alignment horizontal="center" vertical="center"/>
    </xf>
    <xf numFmtId="0" fontId="17" fillId="0" borderId="11" xfId="0" applyFont="1" applyBorder="1" applyAlignment="1">
      <alignment horizontal="center" vertical="center"/>
    </xf>
    <xf numFmtId="0" fontId="17" fillId="0" borderId="11" xfId="1" applyFont="1" applyFill="1" applyBorder="1" applyAlignment="1">
      <alignment horizontal="center" vertical="center"/>
    </xf>
    <xf numFmtId="0" fontId="17" fillId="0" borderId="11" xfId="3" applyFont="1" applyFill="1" applyBorder="1" applyAlignment="1">
      <alignment horizontal="center" vertical="center"/>
    </xf>
    <xf numFmtId="0" fontId="17" fillId="0" borderId="12" xfId="0" applyFont="1" applyBorder="1" applyAlignment="1">
      <alignment horizontal="center" vertical="center"/>
    </xf>
    <xf numFmtId="0" fontId="13" fillId="0" borderId="0" xfId="0" applyFont="1"/>
    <xf numFmtId="0" fontId="13" fillId="0" borderId="0" xfId="0" applyFont="1" applyAlignment="1">
      <alignment wrapText="1"/>
    </xf>
    <xf numFmtId="0" fontId="13" fillId="0" borderId="0" xfId="0" applyFont="1" applyAlignment="1">
      <alignment vertical="top" wrapText="1"/>
    </xf>
    <xf numFmtId="0" fontId="21" fillId="0" borderId="0" xfId="0" applyFont="1" applyAlignment="1">
      <alignment vertical="top" wrapText="1"/>
    </xf>
    <xf numFmtId="0" fontId="13" fillId="0" borderId="0" xfId="0" applyFont="1" applyAlignment="1">
      <alignment vertical="top"/>
    </xf>
    <xf numFmtId="0" fontId="7" fillId="0" borderId="1" xfId="1" applyFont="1" applyFill="1" applyBorder="1" applyAlignment="1">
      <alignment horizontal="left" vertical="center" wrapText="1"/>
    </xf>
    <xf numFmtId="0" fontId="7" fillId="0" borderId="1" xfId="1" applyFont="1" applyFill="1" applyBorder="1" applyAlignment="1">
      <alignment horizontal="center" vertical="center" wrapText="1"/>
    </xf>
    <xf numFmtId="0" fontId="8" fillId="0" borderId="0" xfId="0" applyFont="1"/>
    <xf numFmtId="0" fontId="23" fillId="0" borderId="0" xfId="0" applyFont="1"/>
    <xf numFmtId="0" fontId="24" fillId="0" borderId="0" xfId="0" applyFont="1" applyAlignment="1">
      <alignment wrapText="1"/>
    </xf>
    <xf numFmtId="0" fontId="26" fillId="10" borderId="4" xfId="0" applyFont="1" applyFill="1" applyBorder="1" applyAlignment="1">
      <alignment horizontal="left" vertical="center"/>
    </xf>
    <xf numFmtId="14" fontId="26" fillId="10" borderId="4" xfId="0" applyNumberFormat="1" applyFont="1" applyFill="1" applyBorder="1" applyAlignment="1">
      <alignment horizontal="left" vertical="center"/>
    </xf>
    <xf numFmtId="14" fontId="0" fillId="0" borderId="0" xfId="0" applyNumberFormat="1" applyAlignment="1">
      <alignment horizontal="left"/>
    </xf>
    <xf numFmtId="0" fontId="25" fillId="0" borderId="0" xfId="0" applyFont="1" applyAlignment="1">
      <alignment wrapText="1"/>
    </xf>
    <xf numFmtId="0" fontId="12" fillId="9" borderId="8" xfId="0" applyFont="1" applyFill="1" applyBorder="1"/>
    <xf numFmtId="0" fontId="12" fillId="9" borderId="4" xfId="0" applyFont="1" applyFill="1" applyBorder="1"/>
    <xf numFmtId="0" fontId="13" fillId="9" borderId="4" xfId="0" applyFont="1" applyFill="1" applyBorder="1"/>
    <xf numFmtId="0" fontId="13" fillId="9" borderId="4" xfId="0" applyFont="1" applyFill="1" applyBorder="1" applyAlignment="1">
      <alignment horizontal="center" vertical="center"/>
    </xf>
    <xf numFmtId="0" fontId="17" fillId="9" borderId="4" xfId="1" applyFont="1" applyFill="1" applyBorder="1" applyAlignment="1">
      <alignment horizontal="center" vertical="center"/>
    </xf>
    <xf numFmtId="0" fontId="17" fillId="9" borderId="4" xfId="3" applyFont="1" applyFill="1" applyBorder="1" applyAlignment="1">
      <alignment horizontal="center" vertical="center"/>
    </xf>
    <xf numFmtId="0" fontId="5" fillId="0" borderId="0" xfId="0" applyFont="1" applyAlignment="1">
      <alignment horizontal="center" vertical="center"/>
    </xf>
    <xf numFmtId="165" fontId="5" fillId="0" borderId="0" xfId="0" applyNumberFormat="1" applyFont="1" applyAlignment="1">
      <alignment horizontal="center"/>
    </xf>
    <xf numFmtId="9" fontId="12" fillId="0" borderId="8" xfId="7" applyFont="1" applyBorder="1"/>
    <xf numFmtId="9" fontId="12" fillId="0" borderId="4" xfId="7" applyFont="1" applyBorder="1"/>
    <xf numFmtId="9" fontId="13" fillId="0" borderId="4" xfId="7" applyFont="1" applyBorder="1"/>
    <xf numFmtId="9" fontId="13" fillId="0" borderId="4" xfId="7" applyFont="1" applyBorder="1" applyAlignment="1">
      <alignment horizontal="center" vertical="center"/>
    </xf>
    <xf numFmtId="9" fontId="17" fillId="0" borderId="4" xfId="7" applyFont="1" applyBorder="1" applyAlignment="1">
      <alignment horizontal="center" vertical="center"/>
    </xf>
    <xf numFmtId="9" fontId="17" fillId="0" borderId="4" xfId="7" applyFont="1" applyFill="1" applyBorder="1" applyAlignment="1">
      <alignment horizontal="center" vertical="center"/>
    </xf>
    <xf numFmtId="9" fontId="17" fillId="0" borderId="9" xfId="7" applyFont="1" applyBorder="1" applyAlignment="1">
      <alignment horizontal="center" vertical="center"/>
    </xf>
    <xf numFmtId="9" fontId="0" fillId="0" borderId="0" xfId="7" applyFont="1"/>
    <xf numFmtId="0" fontId="26" fillId="10" borderId="4" xfId="0" applyFont="1" applyFill="1" applyBorder="1" applyAlignment="1">
      <alignment horizontal="left" vertical="center" wrapText="1"/>
    </xf>
    <xf numFmtId="0" fontId="0" fillId="0" borderId="0" xfId="0" applyAlignment="1">
      <alignment horizontal="left" wrapText="1"/>
    </xf>
    <xf numFmtId="0" fontId="0" fillId="0" borderId="1" xfId="1" applyFont="1" applyFill="1" applyBorder="1" applyAlignment="1">
      <alignment horizontal="left" vertical="center" wrapText="1"/>
    </xf>
    <xf numFmtId="0" fontId="5" fillId="0" borderId="1" xfId="0" applyFont="1" applyBorder="1" applyAlignment="1">
      <alignment horizontal="left" vertical="center" wrapText="1"/>
    </xf>
    <xf numFmtId="0" fontId="0" fillId="0" borderId="1" xfId="0" applyBorder="1" applyAlignment="1">
      <alignment horizontal="left" vertical="center" wrapText="1"/>
    </xf>
    <xf numFmtId="0" fontId="5" fillId="0" borderId="1" xfId="0" applyFont="1" applyBorder="1" applyAlignment="1">
      <alignment horizontal="center" vertical="center" wrapText="1"/>
    </xf>
    <xf numFmtId="0" fontId="0" fillId="0" borderId="3" xfId="0" applyBorder="1"/>
    <xf numFmtId="0" fontId="0" fillId="0" borderId="3" xfId="0" applyBorder="1"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left" vertical="center" wrapText="1"/>
    </xf>
    <xf numFmtId="0" fontId="15" fillId="0" borderId="1" xfId="0" applyFont="1" applyBorder="1" applyAlignment="1">
      <alignment horizontal="left" vertical="center" wrapText="1"/>
    </xf>
    <xf numFmtId="0" fontId="0" fillId="0" borderId="1" xfId="0" applyBorder="1" applyAlignment="1">
      <alignment horizontal="center" wrapText="1"/>
    </xf>
    <xf numFmtId="0" fontId="6" fillId="0" borderId="1" xfId="0" applyFont="1" applyBorder="1" applyAlignment="1">
      <alignment horizontal="left" vertical="center" wrapText="1"/>
    </xf>
    <xf numFmtId="15" fontId="0" fillId="0" borderId="0" xfId="0" applyNumberFormat="1" applyAlignment="1">
      <alignment horizontal="center" wrapText="1"/>
    </xf>
    <xf numFmtId="0" fontId="0" fillId="0" borderId="0" xfId="0" applyAlignment="1">
      <alignment vertical="center" wrapText="1"/>
    </xf>
    <xf numFmtId="15" fontId="0" fillId="0" borderId="0" xfId="0" applyNumberFormat="1" applyAlignment="1">
      <alignment horizontal="center" vertical="center"/>
    </xf>
    <xf numFmtId="0" fontId="0" fillId="0" borderId="3" xfId="0" applyBorder="1" applyAlignment="1">
      <alignment horizontal="center" vertical="center" wrapText="1"/>
    </xf>
    <xf numFmtId="0" fontId="3" fillId="0" borderId="1" xfId="1" applyFill="1" applyBorder="1" applyAlignment="1">
      <alignment horizontal="center" vertical="center" wrapText="1"/>
    </xf>
    <xf numFmtId="0" fontId="10" fillId="0" borderId="1" xfId="0" applyFont="1" applyBorder="1" applyAlignment="1">
      <alignment horizontal="center" vertical="center" wrapText="1"/>
    </xf>
    <xf numFmtId="15" fontId="3" fillId="0" borderId="1" xfId="1" applyNumberFormat="1" applyFill="1" applyBorder="1" applyAlignment="1">
      <alignment horizontal="center" vertical="center" wrapText="1"/>
    </xf>
    <xf numFmtId="0" fontId="5" fillId="0" borderId="3" xfId="0" applyFont="1" applyBorder="1" applyAlignment="1">
      <alignment wrapText="1"/>
    </xf>
    <xf numFmtId="164" fontId="3" fillId="0" borderId="3" xfId="1" applyNumberFormat="1" applyFill="1" applyBorder="1" applyAlignment="1">
      <alignment horizontal="center" vertical="center" wrapText="1"/>
    </xf>
    <xf numFmtId="0" fontId="5" fillId="0" borderId="0" xfId="0" applyFont="1" applyAlignment="1">
      <alignment wrapText="1"/>
    </xf>
    <xf numFmtId="0" fontId="2" fillId="0" borderId="1" xfId="5" applyFill="1" applyBorder="1" applyAlignment="1">
      <alignment horizontal="center" vertical="center" wrapText="1"/>
    </xf>
    <xf numFmtId="15" fontId="0" fillId="0" borderId="1" xfId="1" applyNumberFormat="1" applyFont="1" applyFill="1" applyBorder="1" applyAlignment="1">
      <alignment horizontal="center" vertical="center" wrapText="1"/>
    </xf>
    <xf numFmtId="15" fontId="7" fillId="0" borderId="3" xfId="1" applyNumberFormat="1" applyFont="1" applyFill="1" applyBorder="1" applyAlignment="1">
      <alignment horizontal="center" vertical="center" wrapText="1"/>
    </xf>
    <xf numFmtId="15" fontId="7" fillId="0" borderId="1" xfId="1" applyNumberFormat="1" applyFont="1" applyFill="1" applyBorder="1" applyAlignment="1">
      <alignment horizontal="center" vertical="center" wrapText="1"/>
    </xf>
    <xf numFmtId="15" fontId="0" fillId="0" borderId="1" xfId="0" applyNumberFormat="1" applyBorder="1" applyAlignment="1">
      <alignment horizontal="center" vertical="center" wrapText="1"/>
    </xf>
    <xf numFmtId="15" fontId="6" fillId="0" borderId="1" xfId="0" applyNumberFormat="1" applyFont="1" applyBorder="1" applyAlignment="1">
      <alignment horizontal="center" vertical="center" wrapText="1"/>
    </xf>
    <xf numFmtId="0" fontId="5" fillId="0" borderId="0" xfId="0" applyFont="1" applyAlignment="1">
      <alignment vertical="center" wrapText="1"/>
    </xf>
    <xf numFmtId="15" fontId="0" fillId="0" borderId="3" xfId="0" applyNumberFormat="1" applyBorder="1" applyAlignment="1">
      <alignment horizontal="center" vertical="center" wrapText="1"/>
    </xf>
    <xf numFmtId="164" fontId="3" fillId="0" borderId="1" xfId="1" applyNumberFormat="1" applyFill="1" applyBorder="1" applyAlignment="1">
      <alignment horizontal="center" vertical="center" wrapText="1"/>
    </xf>
    <xf numFmtId="0" fontId="8" fillId="0" borderId="1" xfId="0" applyFont="1" applyBorder="1" applyAlignment="1">
      <alignment horizontal="center" vertical="center" wrapText="1"/>
    </xf>
    <xf numFmtId="15" fontId="3" fillId="0" borderId="3" xfId="1" applyNumberFormat="1" applyFill="1" applyBorder="1" applyAlignment="1">
      <alignment horizontal="center" vertical="center" wrapText="1"/>
    </xf>
    <xf numFmtId="15" fontId="3" fillId="0" borderId="2" xfId="1" applyNumberFormat="1" applyFill="1" applyBorder="1" applyAlignment="1">
      <alignment horizontal="center" vertical="center" wrapText="1"/>
    </xf>
    <xf numFmtId="15" fontId="0" fillId="0" borderId="2" xfId="0" applyNumberFormat="1" applyBorder="1" applyAlignment="1">
      <alignment horizontal="center" vertical="center" wrapText="1"/>
    </xf>
    <xf numFmtId="0" fontId="6" fillId="0" borderId="1" xfId="0" applyFont="1" applyBorder="1" applyAlignment="1">
      <alignment horizontal="center" vertical="center" wrapText="1"/>
    </xf>
    <xf numFmtId="15" fontId="0" fillId="0" borderId="0" xfId="0" applyNumberFormat="1" applyAlignment="1">
      <alignment horizontal="center" vertical="center" wrapText="1"/>
    </xf>
    <xf numFmtId="0" fontId="0" fillId="0" borderId="13" xfId="0" applyBorder="1"/>
    <xf numFmtId="0" fontId="0" fillId="0" borderId="16" xfId="0" applyBorder="1" applyAlignment="1">
      <alignment horizontal="center" indent="2"/>
    </xf>
    <xf numFmtId="0" fontId="0" fillId="0" borderId="16" xfId="0" applyBorder="1" applyAlignment="1">
      <alignment horizontal="center"/>
    </xf>
    <xf numFmtId="0" fontId="21" fillId="0" borderId="13" xfId="0" applyFont="1" applyBorder="1" applyAlignment="1">
      <alignment horizontal="center"/>
    </xf>
    <xf numFmtId="0" fontId="21" fillId="0" borderId="13" xfId="0" applyFont="1" applyBorder="1" applyAlignment="1">
      <alignment horizontal="center" wrapText="1"/>
    </xf>
    <xf numFmtId="0" fontId="31" fillId="0" borderId="13" xfId="0" applyFont="1" applyBorder="1" applyAlignment="1">
      <alignment horizontal="center"/>
    </xf>
    <xf numFmtId="3" fontId="21" fillId="0" borderId="13" xfId="0" applyNumberFormat="1" applyFont="1" applyBorder="1" applyAlignment="1">
      <alignment horizontal="center" wrapText="1"/>
    </xf>
    <xf numFmtId="0" fontId="0" fillId="0" borderId="16" xfId="0" applyBorder="1"/>
    <xf numFmtId="0" fontId="0" fillId="0" borderId="20" xfId="0" applyBorder="1" applyAlignment="1">
      <alignment horizontal="center"/>
    </xf>
    <xf numFmtId="0" fontId="0" fillId="0" borderId="19" xfId="0" applyBorder="1" applyAlignment="1">
      <alignment horizontal="center"/>
    </xf>
    <xf numFmtId="0" fontId="30" fillId="11" borderId="5" xfId="0" applyFont="1" applyFill="1" applyBorder="1"/>
    <xf numFmtId="0" fontId="29" fillId="11" borderId="5" xfId="0" applyFont="1" applyFill="1" applyBorder="1"/>
    <xf numFmtId="0" fontId="0" fillId="0" borderId="0" xfId="0" applyAlignment="1">
      <alignment horizontal="left" vertical="center" wrapText="1"/>
    </xf>
    <xf numFmtId="0" fontId="0" fillId="0" borderId="13" xfId="0" applyBorder="1" applyAlignment="1">
      <alignment horizontal="center" vertical="center"/>
    </xf>
    <xf numFmtId="0" fontId="0" fillId="0" borderId="13" xfId="0" applyBorder="1" applyAlignment="1">
      <alignment horizontal="center"/>
    </xf>
    <xf numFmtId="0" fontId="5" fillId="0" borderId="0" xfId="0" applyFont="1" applyAlignment="1">
      <alignment horizontal="center" vertical="center" wrapText="1"/>
    </xf>
    <xf numFmtId="0" fontId="0" fillId="0" borderId="0" xfId="0" applyAlignment="1">
      <alignment horizontal="center" vertical="center" wrapText="1"/>
    </xf>
    <xf numFmtId="0" fontId="6" fillId="0" borderId="3" xfId="0" applyFont="1" applyBorder="1" applyAlignment="1">
      <alignment horizontal="center" vertical="center" wrapText="1"/>
    </xf>
    <xf numFmtId="0" fontId="8" fillId="0" borderId="0" xfId="0" applyFont="1" applyAlignment="1">
      <alignment horizontal="center" wrapText="1"/>
    </xf>
    <xf numFmtId="0" fontId="5" fillId="0" borderId="2" xfId="0" applyFont="1" applyBorder="1" applyAlignment="1">
      <alignment horizontal="center" vertical="center" wrapText="1"/>
    </xf>
    <xf numFmtId="0" fontId="0" fillId="0" borderId="2" xfId="0" applyBorder="1" applyAlignment="1">
      <alignment horizontal="center" vertical="center" wrapText="1"/>
    </xf>
    <xf numFmtId="0" fontId="5" fillId="0" borderId="3" xfId="0" applyFont="1" applyBorder="1" applyAlignment="1">
      <alignment horizontal="center" vertical="center" wrapText="1"/>
    </xf>
    <xf numFmtId="0" fontId="5" fillId="0" borderId="3" xfId="0" applyFont="1" applyBorder="1" applyAlignment="1">
      <alignment horizontal="left" vertical="center"/>
    </xf>
    <xf numFmtId="0" fontId="5" fillId="0" borderId="0" xfId="0" applyFont="1" applyAlignment="1">
      <alignment horizontal="left" vertical="center" wrapText="1"/>
    </xf>
    <xf numFmtId="0" fontId="6" fillId="0" borderId="3" xfId="0" applyFont="1" applyBorder="1" applyAlignment="1">
      <alignment horizontal="left" vertical="center" wrapText="1"/>
    </xf>
    <xf numFmtId="0" fontId="5" fillId="0" borderId="2" xfId="0" applyFont="1" applyBorder="1" applyAlignment="1">
      <alignment horizontal="left" vertical="center" wrapText="1"/>
    </xf>
    <xf numFmtId="0" fontId="0" fillId="0" borderId="2" xfId="0" applyBorder="1" applyAlignment="1">
      <alignment horizontal="left" vertical="center" wrapText="1"/>
    </xf>
    <xf numFmtId="0" fontId="5" fillId="0" borderId="3" xfId="0" applyFont="1" applyBorder="1" applyAlignment="1">
      <alignment horizontal="left" vertical="center" wrapText="1"/>
    </xf>
    <xf numFmtId="0" fontId="8" fillId="0" borderId="0" xfId="0" applyFont="1" applyAlignment="1">
      <alignment horizontal="left" vertical="center" wrapText="1"/>
    </xf>
    <xf numFmtId="15" fontId="22" fillId="0" borderId="1" xfId="1" applyNumberFormat="1" applyFont="1" applyFill="1" applyBorder="1" applyAlignment="1">
      <alignment horizontal="center" vertical="center" wrapText="1"/>
    </xf>
    <xf numFmtId="15" fontId="2" fillId="0" borderId="1" xfId="5" applyNumberFormat="1" applyFill="1" applyBorder="1" applyAlignment="1">
      <alignment horizontal="center" vertical="center" wrapText="1"/>
    </xf>
    <xf numFmtId="164" fontId="6" fillId="0" borderId="3" xfId="0" applyNumberFormat="1" applyFont="1" applyBorder="1" applyAlignment="1">
      <alignment horizontal="center" vertical="center" wrapText="1"/>
    </xf>
    <xf numFmtId="0" fontId="0" fillId="0" borderId="1" xfId="2" applyFont="1" applyFill="1" applyBorder="1" applyAlignment="1">
      <alignment horizontal="center" vertical="center" wrapText="1"/>
    </xf>
    <xf numFmtId="14" fontId="20" fillId="0" borderId="1" xfId="0" applyNumberFormat="1" applyFont="1" applyBorder="1" applyAlignment="1">
      <alignment horizontal="center" vertical="center" wrapText="1"/>
    </xf>
    <xf numFmtId="0" fontId="16" fillId="0" borderId="1" xfId="0" applyFont="1" applyBorder="1" applyAlignment="1">
      <alignment horizontal="left" vertical="center" wrapText="1"/>
    </xf>
    <xf numFmtId="0" fontId="29" fillId="11" borderId="0" xfId="0" applyFont="1" applyFill="1" applyAlignment="1">
      <alignment horizontal="center" vertical="center"/>
    </xf>
    <xf numFmtId="0" fontId="29" fillId="11" borderId="0" xfId="0" applyFont="1" applyFill="1"/>
    <xf numFmtId="0" fontId="0" fillId="12" borderId="3" xfId="0" applyFill="1" applyBorder="1" applyAlignment="1">
      <alignment horizontal="left" vertical="center" wrapText="1"/>
    </xf>
    <xf numFmtId="0" fontId="3" fillId="12" borderId="1" xfId="1" applyFill="1" applyBorder="1" applyAlignment="1">
      <alignment horizontal="center" vertical="center" wrapText="1"/>
    </xf>
    <xf numFmtId="0" fontId="0" fillId="12" borderId="3" xfId="0" applyFill="1" applyBorder="1" applyAlignment="1">
      <alignment horizontal="center" vertical="center" wrapText="1"/>
    </xf>
    <xf numFmtId="0" fontId="0" fillId="12" borderId="1" xfId="1" applyFont="1" applyFill="1" applyBorder="1" applyAlignment="1">
      <alignment horizontal="left" vertical="center" wrapText="1"/>
    </xf>
    <xf numFmtId="0" fontId="0" fillId="12" borderId="1" xfId="1" applyFont="1" applyFill="1" applyBorder="1" applyAlignment="1">
      <alignment horizontal="center" vertical="center" wrapText="1"/>
    </xf>
    <xf numFmtId="15" fontId="3" fillId="12" borderId="1" xfId="1" applyNumberFormat="1" applyFill="1" applyBorder="1" applyAlignment="1">
      <alignment horizontal="center" vertical="center" wrapText="1"/>
    </xf>
    <xf numFmtId="0" fontId="0" fillId="0" borderId="16" xfId="0" applyBorder="1" applyAlignment="1">
      <alignment wrapText="1"/>
    </xf>
    <xf numFmtId="0" fontId="29" fillId="11" borderId="4" xfId="0" applyFont="1" applyFill="1" applyBorder="1" applyAlignment="1">
      <alignment horizontal="center" vertical="center"/>
    </xf>
    <xf numFmtId="0" fontId="0" fillId="0" borderId="4" xfId="0" applyBorder="1" applyAlignment="1">
      <alignment horizontal="center" vertical="center"/>
    </xf>
    <xf numFmtId="0" fontId="29" fillId="11" borderId="24" xfId="0" applyFont="1" applyFill="1" applyBorder="1"/>
    <xf numFmtId="0" fontId="0" fillId="0" borderId="11" xfId="0" applyBorder="1" applyAlignment="1">
      <alignment horizontal="center" vertical="center"/>
    </xf>
    <xf numFmtId="0" fontId="33" fillId="0" borderId="0" xfId="0" applyFont="1"/>
    <xf numFmtId="0" fontId="5" fillId="13" borderId="0" xfId="0" applyFont="1" applyFill="1"/>
    <xf numFmtId="0" fontId="1" fillId="12" borderId="1" xfId="1" applyFont="1" applyFill="1" applyBorder="1" applyAlignment="1">
      <alignment horizontal="center" vertical="center" wrapText="1"/>
    </xf>
    <xf numFmtId="0" fontId="1" fillId="0" borderId="1" xfId="1" applyFont="1" applyFill="1" applyBorder="1" applyAlignment="1">
      <alignment horizontal="center" vertical="center" wrapText="1"/>
    </xf>
    <xf numFmtId="0" fontId="1" fillId="0" borderId="1" xfId="2" applyFont="1" applyFill="1" applyBorder="1" applyAlignment="1">
      <alignment horizontal="center" vertical="center" wrapText="1"/>
    </xf>
    <xf numFmtId="15" fontId="1" fillId="0" borderId="1" xfId="1" applyNumberFormat="1" applyFont="1" applyFill="1" applyBorder="1" applyAlignment="1">
      <alignment horizontal="center" vertical="center" wrapText="1"/>
    </xf>
    <xf numFmtId="164" fontId="1" fillId="0" borderId="3" xfId="1" applyNumberFormat="1" applyFont="1" applyFill="1" applyBorder="1" applyAlignment="1">
      <alignment horizontal="center" vertical="center" wrapText="1"/>
    </xf>
    <xf numFmtId="15" fontId="1" fillId="0" borderId="3" xfId="1" applyNumberFormat="1" applyFont="1" applyFill="1" applyBorder="1" applyAlignment="1">
      <alignment horizontal="center" vertical="center" wrapText="1"/>
    </xf>
    <xf numFmtId="15" fontId="1" fillId="0" borderId="3" xfId="3" applyNumberFormat="1" applyFont="1" applyFill="1" applyBorder="1" applyAlignment="1">
      <alignment horizontal="center" vertical="center" wrapText="1"/>
    </xf>
    <xf numFmtId="0" fontId="1" fillId="0" borderId="2" xfId="1" applyFont="1" applyFill="1" applyBorder="1" applyAlignment="1">
      <alignment horizontal="center" vertical="center" wrapText="1"/>
    </xf>
    <xf numFmtId="14" fontId="1" fillId="0" borderId="1" xfId="1" applyNumberFormat="1" applyFont="1" applyFill="1" applyBorder="1" applyAlignment="1">
      <alignment horizontal="center" vertical="center" wrapText="1"/>
    </xf>
    <xf numFmtId="0" fontId="1" fillId="0" borderId="1" xfId="5" applyFont="1" applyFill="1" applyBorder="1" applyAlignment="1">
      <alignment horizontal="left" vertical="center" wrapText="1"/>
    </xf>
    <xf numFmtId="0" fontId="1" fillId="0" borderId="1" xfId="5" applyFont="1" applyFill="1" applyBorder="1" applyAlignment="1">
      <alignment horizontal="center" vertical="center" wrapText="1"/>
    </xf>
    <xf numFmtId="0" fontId="13" fillId="0" borderId="5" xfId="0" applyFont="1" applyBorder="1"/>
    <xf numFmtId="0" fontId="13" fillId="0" borderId="6" xfId="0" applyFont="1" applyBorder="1"/>
    <xf numFmtId="0" fontId="5" fillId="0" borderId="1" xfId="1" applyFont="1" applyFill="1" applyBorder="1" applyAlignment="1">
      <alignment horizontal="center" vertical="center" wrapText="1"/>
    </xf>
    <xf numFmtId="0" fontId="7" fillId="0" borderId="1" xfId="0" applyFont="1" applyBorder="1" applyAlignment="1">
      <alignment horizontal="center" vertical="center" wrapText="1"/>
    </xf>
    <xf numFmtId="0" fontId="5" fillId="0" borderId="3" xfId="5" applyFont="1" applyFill="1" applyBorder="1" applyAlignment="1">
      <alignment horizontal="center" vertical="center" wrapText="1"/>
    </xf>
    <xf numFmtId="0" fontId="5" fillId="0" borderId="3" xfId="4" applyFont="1" applyFill="1" applyBorder="1" applyAlignment="1">
      <alignment horizontal="center" vertical="center" wrapText="1"/>
    </xf>
    <xf numFmtId="15" fontId="5" fillId="0" borderId="1" xfId="4" applyNumberFormat="1" applyFont="1" applyFill="1" applyBorder="1" applyAlignment="1">
      <alignment horizontal="center" vertical="center" wrapText="1"/>
    </xf>
    <xf numFmtId="0" fontId="5" fillId="0" borderId="1" xfId="4" applyFont="1" applyFill="1" applyBorder="1" applyAlignment="1">
      <alignment horizontal="center" vertical="center" wrapText="1"/>
    </xf>
    <xf numFmtId="15" fontId="6" fillId="0" borderId="1" xfId="3" applyNumberFormat="1" applyFont="1" applyFill="1" applyBorder="1" applyAlignment="1">
      <alignment horizontal="center" vertical="center" wrapText="1"/>
    </xf>
    <xf numFmtId="15" fontId="5" fillId="0" borderId="3" xfId="4" applyNumberFormat="1" applyFont="1" applyFill="1" applyBorder="1" applyAlignment="1">
      <alignment horizontal="center" vertical="center" wrapText="1"/>
    </xf>
    <xf numFmtId="0" fontId="5" fillId="0" borderId="3" xfId="5" applyFont="1" applyFill="1" applyBorder="1" applyAlignment="1">
      <alignment horizontal="left" vertical="center" wrapText="1"/>
    </xf>
    <xf numFmtId="0" fontId="5" fillId="0" borderId="1" xfId="5" applyFont="1" applyFill="1" applyBorder="1" applyAlignment="1">
      <alignment horizontal="center" vertical="center" wrapText="1"/>
    </xf>
    <xf numFmtId="164" fontId="7" fillId="0" borderId="3" xfId="3" applyNumberFormat="1" applyFont="1" applyFill="1" applyBorder="1" applyAlignment="1">
      <alignment horizontal="center" vertical="center" wrapText="1"/>
    </xf>
    <xf numFmtId="15" fontId="7" fillId="0" borderId="1" xfId="3" applyNumberFormat="1" applyFont="1" applyFill="1" applyBorder="1" applyAlignment="1">
      <alignment horizontal="center" vertical="center" wrapText="1"/>
    </xf>
    <xf numFmtId="0" fontId="7" fillId="0" borderId="1" xfId="0" applyFont="1" applyBorder="1" applyAlignment="1">
      <alignment horizontal="left" vertical="center" wrapText="1"/>
    </xf>
    <xf numFmtId="15" fontId="7" fillId="0" borderId="1" xfId="0" applyNumberFormat="1" applyFont="1" applyBorder="1" applyAlignment="1">
      <alignment horizontal="center" vertical="center" wrapText="1"/>
    </xf>
    <xf numFmtId="0" fontId="5" fillId="0" borderId="1" xfId="4" applyFont="1" applyFill="1" applyBorder="1" applyAlignment="1">
      <alignment horizontal="left" vertical="center" wrapText="1"/>
    </xf>
    <xf numFmtId="0" fontId="5" fillId="0" borderId="2" xfId="5" applyFont="1" applyFill="1" applyBorder="1" applyAlignment="1">
      <alignment horizontal="center" vertical="center" wrapText="1"/>
    </xf>
    <xf numFmtId="0" fontId="5" fillId="0" borderId="2" xfId="5" applyFont="1" applyFill="1" applyBorder="1" applyAlignment="1">
      <alignment horizontal="left" vertical="center" wrapText="1"/>
    </xf>
    <xf numFmtId="0" fontId="7" fillId="0" borderId="3" xfId="0" applyFont="1" applyBorder="1" applyAlignment="1">
      <alignment horizontal="center" vertical="center" wrapText="1"/>
    </xf>
    <xf numFmtId="0" fontId="7" fillId="0" borderId="3" xfId="0" applyFont="1" applyBorder="1" applyAlignment="1">
      <alignment horizontal="left" vertical="center" wrapText="1"/>
    </xf>
    <xf numFmtId="0" fontId="7" fillId="0" borderId="1" xfId="2" applyFont="1" applyFill="1" applyBorder="1" applyAlignment="1">
      <alignment horizontal="left" vertical="center" wrapText="1"/>
    </xf>
    <xf numFmtId="0" fontId="7" fillId="0" borderId="1" xfId="2" applyFont="1" applyFill="1" applyBorder="1" applyAlignment="1">
      <alignment horizontal="center" vertical="center" wrapText="1"/>
    </xf>
    <xf numFmtId="0" fontId="0" fillId="0" borderId="14" xfId="0" applyBorder="1"/>
    <xf numFmtId="0" fontId="0" fillId="0" borderId="3" xfId="0" applyBorder="1" applyAlignment="1">
      <alignment vertical="center" wrapText="1"/>
    </xf>
    <xf numFmtId="0" fontId="5" fillId="0" borderId="3" xfId="0" applyFont="1" applyBorder="1" applyAlignment="1">
      <alignment vertical="center" wrapText="1"/>
    </xf>
    <xf numFmtId="0" fontId="5" fillId="0" borderId="2" xfId="0" applyFont="1" applyBorder="1" applyAlignment="1">
      <alignment vertical="center"/>
    </xf>
    <xf numFmtId="0" fontId="1" fillId="0" borderId="2" xfId="1" applyFont="1" applyFill="1" applyBorder="1" applyAlignment="1">
      <alignment wrapText="1"/>
    </xf>
    <xf numFmtId="0" fontId="0" fillId="0" borderId="2" xfId="1" applyFont="1" applyFill="1" applyBorder="1" applyAlignment="1">
      <alignment wrapText="1"/>
    </xf>
    <xf numFmtId="0" fontId="3" fillId="0" borderId="2" xfId="1" applyFill="1" applyBorder="1" applyAlignment="1">
      <alignment wrapText="1"/>
    </xf>
    <xf numFmtId="0" fontId="1" fillId="0" borderId="2" xfId="2" applyFont="1" applyFill="1" applyBorder="1" applyAlignment="1">
      <alignment wrapText="1"/>
    </xf>
    <xf numFmtId="0" fontId="34" fillId="0" borderId="2" xfId="0" applyFont="1" applyBorder="1" applyAlignment="1">
      <alignment wrapText="1"/>
    </xf>
    <xf numFmtId="0" fontId="5" fillId="0" borderId="2" xfId="0" applyFont="1" applyBorder="1" applyAlignment="1">
      <alignment wrapText="1"/>
    </xf>
    <xf numFmtId="0" fontId="0" fillId="0" borderId="2" xfId="0" applyBorder="1" applyAlignment="1">
      <alignment wrapText="1"/>
    </xf>
    <xf numFmtId="0" fontId="18" fillId="0" borderId="2" xfId="6" applyFill="1" applyBorder="1" applyAlignment="1">
      <alignment wrapText="1"/>
    </xf>
    <xf numFmtId="0" fontId="7" fillId="0" borderId="2" xfId="0" applyFont="1" applyBorder="1" applyAlignment="1">
      <alignment wrapText="1"/>
    </xf>
    <xf numFmtId="0" fontId="5" fillId="0" borderId="2" xfId="5" applyFont="1" applyFill="1" applyBorder="1" applyAlignment="1">
      <alignment wrapText="1"/>
    </xf>
    <xf numFmtId="0" fontId="7" fillId="0" borderId="2" xfId="0" applyFont="1" applyBorder="1" applyAlignment="1">
      <alignment vertical="center" wrapText="1"/>
    </xf>
    <xf numFmtId="0" fontId="5" fillId="0" borderId="2" xfId="4" applyFont="1" applyFill="1" applyBorder="1" applyAlignment="1">
      <alignment wrapText="1"/>
    </xf>
    <xf numFmtId="0" fontId="7" fillId="0" borderId="2" xfId="0" applyFont="1" applyBorder="1" applyAlignment="1">
      <alignment vertical="top" wrapText="1"/>
    </xf>
    <xf numFmtId="0" fontId="19" fillId="0" borderId="2" xfId="1" applyFont="1" applyFill="1" applyBorder="1" applyAlignment="1">
      <alignment vertical="top" wrapText="1"/>
    </xf>
    <xf numFmtId="0" fontId="7" fillId="0" borderId="2" xfId="1" applyFont="1" applyFill="1" applyBorder="1" applyAlignment="1">
      <alignment vertical="top" wrapText="1"/>
    </xf>
    <xf numFmtId="0" fontId="6" fillId="0" borderId="2" xfId="0" applyFont="1" applyBorder="1" applyAlignment="1">
      <alignment vertical="top" wrapText="1"/>
    </xf>
    <xf numFmtId="0" fontId="6" fillId="0" borderId="2" xfId="1" applyFont="1" applyFill="1" applyBorder="1" applyAlignment="1">
      <alignment wrapText="1"/>
    </xf>
    <xf numFmtId="0" fontId="7" fillId="0" borderId="2" xfId="1" applyFont="1" applyFill="1" applyBorder="1" applyAlignment="1">
      <alignment wrapText="1"/>
    </xf>
    <xf numFmtId="0" fontId="2" fillId="0" borderId="2" xfId="5" applyFill="1" applyBorder="1" applyAlignment="1">
      <alignment wrapText="1"/>
    </xf>
    <xf numFmtId="0" fontId="6" fillId="0" borderId="2" xfId="0" applyFont="1" applyBorder="1" applyAlignment="1">
      <alignment vertical="center" wrapText="1"/>
    </xf>
    <xf numFmtId="0" fontId="7" fillId="0" borderId="2" xfId="1" applyFont="1" applyFill="1" applyBorder="1" applyAlignment="1">
      <alignment vertical="center" wrapText="1"/>
    </xf>
    <xf numFmtId="0" fontId="6" fillId="0" borderId="2" xfId="1" applyFont="1" applyFill="1" applyBorder="1" applyAlignment="1">
      <alignment vertical="center" wrapText="1"/>
    </xf>
    <xf numFmtId="0" fontId="6" fillId="0" borderId="2" xfId="0" applyFont="1" applyBorder="1" applyAlignment="1">
      <alignment wrapText="1"/>
    </xf>
    <xf numFmtId="0" fontId="7" fillId="0" borderId="2" xfId="2" applyFont="1" applyFill="1" applyBorder="1" applyAlignment="1">
      <alignment wrapText="1"/>
    </xf>
    <xf numFmtId="0" fontId="0" fillId="0" borderId="2" xfId="0" applyBorder="1"/>
    <xf numFmtId="14" fontId="0" fillId="0" borderId="0" xfId="0" applyNumberFormat="1"/>
    <xf numFmtId="0" fontId="5" fillId="13" borderId="0" xfId="0" applyFont="1" applyFill="1" applyAlignment="1">
      <alignment horizontal="center" vertical="center"/>
    </xf>
    <xf numFmtId="0" fontId="18" fillId="0" borderId="2" xfId="6" quotePrefix="1" applyFill="1" applyBorder="1" applyAlignment="1">
      <alignment vertical="center" wrapText="1"/>
    </xf>
    <xf numFmtId="0" fontId="0" fillId="0" borderId="15" xfId="0" applyBorder="1" applyAlignment="1">
      <alignment horizontal="center" vertical="center"/>
    </xf>
    <xf numFmtId="0" fontId="8" fillId="0" borderId="0" xfId="0" applyFont="1" applyAlignment="1">
      <alignment vertical="center"/>
    </xf>
    <xf numFmtId="0" fontId="0" fillId="0" borderId="13" xfId="0" applyBorder="1" applyAlignment="1">
      <alignment horizontal="center" vertical="center" wrapText="1"/>
    </xf>
    <xf numFmtId="0" fontId="0" fillId="0" borderId="19" xfId="0" applyBorder="1" applyAlignment="1">
      <alignment horizontal="center" vertical="center" wrapText="1"/>
    </xf>
    <xf numFmtId="0" fontId="0" fillId="0" borderId="17" xfId="0" applyBorder="1" applyAlignment="1">
      <alignment horizontal="center" vertical="center" wrapText="1"/>
    </xf>
    <xf numFmtId="0" fontId="0" fillId="0" borderId="15" xfId="0" applyBorder="1" applyAlignment="1">
      <alignment horizontal="center" vertical="center" wrapText="1"/>
    </xf>
    <xf numFmtId="0" fontId="5" fillId="0" borderId="13" xfId="0" applyFont="1" applyBorder="1" applyAlignment="1">
      <alignment horizontal="center"/>
    </xf>
    <xf numFmtId="0" fontId="5" fillId="0" borderId="14" xfId="0" applyFont="1" applyBorder="1" applyAlignment="1">
      <alignment horizontal="center"/>
    </xf>
    <xf numFmtId="0" fontId="0" fillId="0" borderId="15" xfId="0" applyBorder="1" applyAlignment="1">
      <alignment horizontal="left"/>
    </xf>
    <xf numFmtId="0" fontId="0" fillId="0" borderId="16" xfId="0" applyBorder="1" applyAlignment="1">
      <alignment horizontal="left"/>
    </xf>
    <xf numFmtId="0" fontId="0" fillId="0" borderId="23" xfId="0" applyBorder="1" applyAlignment="1">
      <alignment horizontal="center" vertical="center" indent="2"/>
    </xf>
    <xf numFmtId="0" fontId="0" fillId="0" borderId="1" xfId="0" applyBorder="1" applyAlignment="1">
      <alignment horizontal="center" vertical="center" indent="2"/>
    </xf>
    <xf numFmtId="0" fontId="0" fillId="0" borderId="20" xfId="0" applyBorder="1" applyAlignment="1">
      <alignment horizontal="center" vertical="center" indent="2"/>
    </xf>
    <xf numFmtId="0" fontId="0" fillId="0" borderId="15" xfId="0" applyBorder="1" applyAlignment="1">
      <alignment horizontal="center"/>
    </xf>
    <xf numFmtId="0" fontId="0" fillId="0" borderId="16" xfId="0" applyBorder="1" applyAlignment="1">
      <alignment horizontal="center"/>
    </xf>
    <xf numFmtId="0" fontId="0" fillId="0" borderId="13" xfId="0" applyBorder="1" applyAlignment="1">
      <alignment horizontal="center" vertical="center"/>
    </xf>
    <xf numFmtId="0" fontId="28" fillId="0" borderId="17" xfId="0" applyFont="1" applyBorder="1" applyAlignment="1">
      <alignment horizontal="center" indent="1"/>
    </xf>
    <xf numFmtId="0" fontId="28" fillId="0" borderId="18" xfId="0" applyFont="1" applyBorder="1" applyAlignment="1">
      <alignment horizontal="center" indent="1"/>
    </xf>
    <xf numFmtId="0" fontId="0" fillId="0" borderId="13" xfId="0" applyBorder="1" applyAlignment="1">
      <alignment horizontal="center"/>
    </xf>
    <xf numFmtId="0" fontId="29" fillId="11" borderId="21" xfId="0" applyFont="1" applyFill="1" applyBorder="1"/>
    <xf numFmtId="0" fontId="29" fillId="11" borderId="6" xfId="0" applyFont="1" applyFill="1" applyBorder="1"/>
    <xf numFmtId="0" fontId="29" fillId="11" borderId="11" xfId="0" applyFont="1" applyFill="1" applyBorder="1" applyAlignment="1">
      <alignment horizontal="center" vertical="center"/>
    </xf>
    <xf numFmtId="0" fontId="29" fillId="11" borderId="21" xfId="0" applyFont="1" applyFill="1" applyBorder="1" applyAlignment="1">
      <alignment horizontal="center" vertical="center"/>
    </xf>
    <xf numFmtId="0" fontId="29" fillId="11" borderId="6" xfId="0" applyFont="1" applyFill="1" applyBorder="1" applyAlignment="1">
      <alignment horizontal="center" vertical="center"/>
    </xf>
    <xf numFmtId="0" fontId="29" fillId="11" borderId="10" xfId="0" applyFont="1" applyFill="1" applyBorder="1" applyAlignment="1">
      <alignment horizontal="center" vertical="center"/>
    </xf>
    <xf numFmtId="0" fontId="29" fillId="11" borderId="22" xfId="0" applyFont="1" applyFill="1" applyBorder="1" applyAlignment="1">
      <alignment horizontal="center" vertical="center"/>
    </xf>
    <xf numFmtId="0" fontId="29" fillId="11" borderId="5" xfId="0" applyFont="1" applyFill="1" applyBorder="1" applyAlignment="1">
      <alignment horizontal="center" vertical="center"/>
    </xf>
    <xf numFmtId="0" fontId="0" fillId="0" borderId="15" xfId="0" applyBorder="1" applyAlignment="1">
      <alignment horizontal="center" vertical="center"/>
    </xf>
    <xf numFmtId="0" fontId="0" fillId="0" borderId="14" xfId="0" applyBorder="1" applyAlignment="1">
      <alignment horizontal="center" vertical="center"/>
    </xf>
    <xf numFmtId="0" fontId="29" fillId="11" borderId="4" xfId="0" applyFont="1" applyFill="1" applyBorder="1" applyAlignment="1">
      <alignment horizontal="center" vertical="center" wrapText="1"/>
    </xf>
    <xf numFmtId="0" fontId="0" fillId="0" borderId="4" xfId="0" applyBorder="1" applyAlignment="1">
      <alignment horizontal="center" vertical="center" wrapText="1"/>
    </xf>
    <xf numFmtId="0" fontId="29" fillId="11" borderId="4" xfId="0" applyFont="1" applyFill="1"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xf>
    <xf numFmtId="0" fontId="0" fillId="0" borderId="14" xfId="0" applyBorder="1" applyAlignment="1">
      <alignment horizontal="center"/>
    </xf>
    <xf numFmtId="0" fontId="0" fillId="0" borderId="0" xfId="0" applyAlignment="1">
      <alignment horizontal="left" vertical="center" wrapText="1"/>
    </xf>
    <xf numFmtId="0" fontId="0" fillId="0" borderId="0" xfId="0" applyAlignment="1">
      <alignment wrapText="1"/>
    </xf>
    <xf numFmtId="0" fontId="33" fillId="0" borderId="0" xfId="0" applyFont="1" applyAlignment="1">
      <alignment horizontal="center"/>
    </xf>
  </cellXfs>
  <cellStyles count="8">
    <cellStyle name="20% - Accent1" xfId="4" builtinId="30"/>
    <cellStyle name="20% - Accent2" xfId="5" builtinId="34"/>
    <cellStyle name="Bad" xfId="3" builtinId="27"/>
    <cellStyle name="Good" xfId="1" builtinId="26"/>
    <cellStyle name="Hyperlink" xfId="6" builtinId="8"/>
    <cellStyle name="Neutral" xfId="2" builtinId="28"/>
    <cellStyle name="Normal" xfId="0" builtinId="0"/>
    <cellStyle name="Percent" xfId="7" builtinId="5"/>
  </cellStyles>
  <dxfs count="15">
    <dxf>
      <font>
        <b val="0"/>
        <i val="0"/>
        <strike val="0"/>
        <condense val="0"/>
        <extend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000000"/>
        <name val="Aptos Narrow"/>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1C4269"/>
        <name val="Aptos Narrow"/>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rgb="FF1C4269"/>
        <name val="Aptos Narrow"/>
        <scheme val="none"/>
      </font>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color theme="0"/>
      </font>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6E0B4"/>
      <color rgb="FFC6EFCE"/>
      <color rgb="FFFFFFFF"/>
      <color rgb="FF0070C0"/>
      <color rgb="FF833C0C"/>
      <color rgb="FFFFC000"/>
      <color rgb="FFD0CECE"/>
      <color rgb="FF4472C4"/>
      <color rgb="FF3054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FDE330-F240-49EA-8D0A-084964718BAB}" name="Table1" displayName="Table1" ref="A1:K32" totalsRowShown="0" headerRowDxfId="14" headerRowBorderDxfId="13" tableBorderDxfId="12" totalsRowBorderDxfId="11">
  <autoFilter ref="A1:K32" xr:uid="{98FDE330-F240-49EA-8D0A-084964718BAB}">
    <filterColumn colId="10">
      <filters>
        <filter val="BAW_PA"/>
        <filter val="CUA_PA"/>
        <filter val="MSV_PA"/>
        <filter val="SST_PA"/>
        <filter val="TM2_PA"/>
        <filter val="TM4_PA"/>
      </filters>
    </filterColumn>
  </autoFilter>
  <tableColumns count="11">
    <tableColumn id="1" xr3:uid="{F636AB98-6DCF-482F-8BC4-348762E8D2C6}" name="Tenant Name" dataDxfId="10"/>
    <tableColumn id="2" xr3:uid="{E2DD0B93-7A56-46D3-B7D1-3EEFAC73AE00}" name="Tenant Acronym" dataDxfId="9"/>
    <tableColumn id="3" xr3:uid="{4E5FF9F7-B08B-433D-91F8-CB67F93D0459}" name="Status" dataDxfId="8"/>
    <tableColumn id="4" xr3:uid="{520A1CDD-6251-450D-BA45-57FD9C0AAABA}" name="Test Available" dataDxfId="7"/>
    <tableColumn id="5" xr3:uid="{49049293-AB03-42F7-895B-1EAEB037E023}" name="Production" dataDxfId="6"/>
    <tableColumn id="6" xr3:uid="{29BD1CF1-2939-4136-9AD4-318D54DF5667}" name="Phase 1" dataDxfId="5"/>
    <tableColumn id="7" xr3:uid="{815314AE-6F10-4269-8E57-235FF1E27A3A}" name="Phase 2" dataDxfId="4"/>
    <tableColumn id="8" xr3:uid="{B07AE9EB-BB3B-47FD-9BBF-868997BF498D}" name="Phase 3" dataDxfId="3"/>
    <tableColumn id="9" xr3:uid="{2CBAD8DC-1DD1-4D3C-BA5A-8DF291C6C54F}" name="Phase 4" dataDxfId="2"/>
    <tableColumn id="11" xr3:uid="{3B9A64BD-C635-432E-BD93-02A8A9D2FCB1}" name="Phase 5" dataDxfId="1"/>
    <tableColumn id="12" xr3:uid="{7BCCA76E-3D9B-401A-8EB0-B84E5927DA53}" name="Phase 6"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6C8E-711C-478C-942A-1FAD18F9630E}">
  <dimension ref="A1:D19"/>
  <sheetViews>
    <sheetView workbookViewId="0">
      <selection activeCell="C7" sqref="C7"/>
    </sheetView>
  </sheetViews>
  <sheetFormatPr defaultColWidth="11.44140625" defaultRowHeight="14.4" x14ac:dyDescent="0.3"/>
  <cols>
    <col min="1" max="1" width="11.44140625" style="1"/>
    <col min="2" max="2" width="58.5546875" customWidth="1"/>
    <col min="3" max="3" width="68.5546875" bestFit="1" customWidth="1"/>
    <col min="4" max="4" width="69.109375" bestFit="1" customWidth="1"/>
  </cols>
  <sheetData>
    <row r="1" spans="1:4" x14ac:dyDescent="0.3">
      <c r="A1" s="8" t="s">
        <v>0</v>
      </c>
      <c r="B1" s="4" t="s">
        <v>1</v>
      </c>
      <c r="C1" s="3" t="s">
        <v>2</v>
      </c>
    </row>
    <row r="2" spans="1:4" ht="115.2" x14ac:dyDescent="0.3">
      <c r="A2" s="9">
        <v>1</v>
      </c>
      <c r="B2" s="10" t="s">
        <v>3</v>
      </c>
      <c r="C2" s="11" t="s">
        <v>4</v>
      </c>
      <c r="D2" s="12" t="s">
        <v>5</v>
      </c>
    </row>
    <row r="3" spans="1:4" ht="129.6" x14ac:dyDescent="0.3">
      <c r="A3" s="9">
        <v>2</v>
      </c>
      <c r="B3" s="10" t="s">
        <v>6</v>
      </c>
      <c r="C3" s="11" t="s">
        <v>7</v>
      </c>
      <c r="D3" s="12" t="s">
        <v>8</v>
      </c>
    </row>
    <row r="4" spans="1:4" ht="28.8" x14ac:dyDescent="0.3">
      <c r="A4" s="9">
        <v>3</v>
      </c>
      <c r="B4" s="10" t="s">
        <v>9</v>
      </c>
      <c r="C4" s="11" t="s">
        <v>10</v>
      </c>
      <c r="D4" s="12"/>
    </row>
    <row r="5" spans="1:4" ht="28.8" x14ac:dyDescent="0.3">
      <c r="A5" s="9">
        <v>4</v>
      </c>
      <c r="B5" s="10" t="s">
        <v>11</v>
      </c>
      <c r="C5" s="11" t="s">
        <v>12</v>
      </c>
      <c r="D5" s="12" t="s">
        <v>13</v>
      </c>
    </row>
    <row r="6" spans="1:4" x14ac:dyDescent="0.3">
      <c r="A6" s="9">
        <v>5</v>
      </c>
      <c r="B6" s="10" t="s">
        <v>14</v>
      </c>
      <c r="C6" s="11" t="s">
        <v>15</v>
      </c>
      <c r="D6" s="12"/>
    </row>
    <row r="7" spans="1:4" x14ac:dyDescent="0.3">
      <c r="A7" s="9">
        <v>6</v>
      </c>
      <c r="B7" s="10" t="s">
        <v>16</v>
      </c>
      <c r="C7" s="11" t="s">
        <v>17</v>
      </c>
      <c r="D7" s="12"/>
    </row>
    <row r="8" spans="1:4" x14ac:dyDescent="0.3">
      <c r="A8" s="9">
        <v>7</v>
      </c>
      <c r="B8" s="10" t="s">
        <v>18</v>
      </c>
      <c r="C8" s="11" t="s">
        <v>19</v>
      </c>
      <c r="D8" s="12"/>
    </row>
    <row r="9" spans="1:4" x14ac:dyDescent="0.3">
      <c r="A9" s="9">
        <v>8</v>
      </c>
      <c r="B9" s="10" t="s">
        <v>20</v>
      </c>
      <c r="C9" s="11" t="s">
        <v>21</v>
      </c>
      <c r="D9" s="12" t="s">
        <v>22</v>
      </c>
    </row>
    <row r="10" spans="1:4" ht="28.8" x14ac:dyDescent="0.3">
      <c r="A10" s="9">
        <v>9</v>
      </c>
      <c r="B10" s="10" t="s">
        <v>23</v>
      </c>
      <c r="C10" s="11" t="s">
        <v>24</v>
      </c>
      <c r="D10" s="12"/>
    </row>
    <row r="11" spans="1:4" ht="28.8" x14ac:dyDescent="0.3">
      <c r="A11" s="9">
        <v>10</v>
      </c>
      <c r="B11" s="10" t="s">
        <v>25</v>
      </c>
      <c r="C11" s="11" t="s">
        <v>26</v>
      </c>
      <c r="D11" s="12" t="s">
        <v>22</v>
      </c>
    </row>
    <row r="12" spans="1:4" x14ac:dyDescent="0.3">
      <c r="A12" s="9">
        <v>11</v>
      </c>
      <c r="B12" s="10" t="s">
        <v>27</v>
      </c>
      <c r="C12" s="11" t="s">
        <v>28</v>
      </c>
      <c r="D12" s="12"/>
    </row>
    <row r="13" spans="1:4" ht="43.2" x14ac:dyDescent="0.3">
      <c r="A13" s="9">
        <v>12</v>
      </c>
      <c r="B13" s="10" t="s">
        <v>29</v>
      </c>
      <c r="C13" s="11" t="s">
        <v>30</v>
      </c>
      <c r="D13" s="12"/>
    </row>
    <row r="14" spans="1:4" x14ac:dyDescent="0.3">
      <c r="A14" s="9">
        <v>13</v>
      </c>
      <c r="B14" s="10" t="s">
        <v>31</v>
      </c>
      <c r="C14" s="11" t="s">
        <v>32</v>
      </c>
      <c r="D14" s="12"/>
    </row>
    <row r="15" spans="1:4" x14ac:dyDescent="0.3">
      <c r="A15" s="9">
        <v>14</v>
      </c>
      <c r="B15" s="10" t="s">
        <v>33</v>
      </c>
      <c r="C15" s="11" t="s">
        <v>34</v>
      </c>
      <c r="D15" s="12"/>
    </row>
    <row r="16" spans="1:4" x14ac:dyDescent="0.3">
      <c r="A16" s="9">
        <v>15</v>
      </c>
      <c r="B16" s="10" t="s">
        <v>35</v>
      </c>
      <c r="C16" s="11" t="s">
        <v>36</v>
      </c>
      <c r="D16" s="12"/>
    </row>
    <row r="17" spans="1:4" x14ac:dyDescent="0.3">
      <c r="A17" s="9">
        <v>16</v>
      </c>
      <c r="B17" s="10" t="s">
        <v>37</v>
      </c>
      <c r="C17" s="11" t="s">
        <v>38</v>
      </c>
      <c r="D17" s="12"/>
    </row>
    <row r="18" spans="1:4" x14ac:dyDescent="0.3">
      <c r="A18" s="9">
        <v>17</v>
      </c>
      <c r="B18" s="10" t="s">
        <v>39</v>
      </c>
      <c r="C18" s="11" t="s">
        <v>40</v>
      </c>
      <c r="D18" s="12"/>
    </row>
    <row r="19" spans="1:4" ht="28.8" x14ac:dyDescent="0.3">
      <c r="A19" s="9">
        <v>18</v>
      </c>
      <c r="B19" s="10" t="s">
        <v>41</v>
      </c>
      <c r="C19" s="11" t="s">
        <v>42</v>
      </c>
      <c r="D19" s="12"/>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49554-F5C8-41F5-968D-FD1D8350DFB7}">
  <dimension ref="A1:L75"/>
  <sheetViews>
    <sheetView workbookViewId="0">
      <selection activeCell="E42" sqref="E42"/>
    </sheetView>
  </sheetViews>
  <sheetFormatPr defaultColWidth="9.109375" defaultRowHeight="14.4" x14ac:dyDescent="0.3"/>
  <cols>
    <col min="1" max="1" width="18.6640625" style="7" customWidth="1"/>
    <col min="2" max="2" width="45.109375" bestFit="1" customWidth="1"/>
    <col min="3" max="3" width="29.88671875" bestFit="1" customWidth="1"/>
    <col min="4" max="4" width="31.5546875" bestFit="1" customWidth="1"/>
    <col min="5" max="5" width="51" customWidth="1"/>
    <col min="6" max="6" width="18.6640625" customWidth="1"/>
    <col min="7" max="7" width="13" bestFit="1" customWidth="1"/>
    <col min="8" max="8" width="19.5546875" customWidth="1"/>
    <col min="9" max="9" width="18" bestFit="1" customWidth="1"/>
    <col min="10" max="10" width="26.5546875" bestFit="1" customWidth="1"/>
    <col min="11" max="11" width="20.5546875" bestFit="1" customWidth="1"/>
    <col min="20" max="20" width="30.44140625" bestFit="1" customWidth="1"/>
    <col min="21" max="21" width="23.5546875" bestFit="1" customWidth="1"/>
  </cols>
  <sheetData>
    <row r="1" spans="1:12" ht="21" x14ac:dyDescent="0.4">
      <c r="A1" s="7" t="s">
        <v>43</v>
      </c>
      <c r="B1" s="247" t="s">
        <v>44</v>
      </c>
      <c r="C1" s="248"/>
      <c r="D1" s="248"/>
      <c r="E1" s="248"/>
      <c r="F1" s="248"/>
      <c r="G1" s="248"/>
      <c r="H1" s="248"/>
      <c r="I1" s="248"/>
      <c r="J1" s="248"/>
      <c r="K1" s="248"/>
      <c r="L1" s="248"/>
    </row>
    <row r="2" spans="1:12" x14ac:dyDescent="0.3">
      <c r="A2" s="241">
        <v>1</v>
      </c>
      <c r="B2" s="116"/>
      <c r="C2" s="116" t="s">
        <v>45</v>
      </c>
      <c r="D2" s="116" t="s">
        <v>46</v>
      </c>
      <c r="E2" s="116" t="s">
        <v>47</v>
      </c>
      <c r="F2" s="116" t="s">
        <v>48</v>
      </c>
      <c r="G2" s="116" t="s">
        <v>49</v>
      </c>
      <c r="H2" s="116" t="s">
        <v>50</v>
      </c>
      <c r="I2" s="116" t="s">
        <v>51</v>
      </c>
      <c r="J2" s="116" t="s">
        <v>52</v>
      </c>
      <c r="K2" s="116" t="s">
        <v>53</v>
      </c>
      <c r="L2" s="116" t="s">
        <v>54</v>
      </c>
    </row>
    <row r="3" spans="1:12" x14ac:dyDescent="0.3">
      <c r="A3" s="242"/>
      <c r="B3" s="116" t="s">
        <v>55</v>
      </c>
      <c r="C3" s="116" t="s">
        <v>56</v>
      </c>
      <c r="D3" s="116" t="s">
        <v>57</v>
      </c>
      <c r="E3" s="116" t="s">
        <v>58</v>
      </c>
      <c r="F3" s="116" t="s">
        <v>59</v>
      </c>
      <c r="G3" s="116" t="s">
        <v>60</v>
      </c>
      <c r="H3" s="116" t="s">
        <v>61</v>
      </c>
      <c r="I3" s="116" t="s">
        <v>62</v>
      </c>
      <c r="J3" s="116" t="s">
        <v>63</v>
      </c>
      <c r="K3" s="116" t="s">
        <v>64</v>
      </c>
      <c r="L3" s="116">
        <v>3</v>
      </c>
    </row>
    <row r="4" spans="1:12" x14ac:dyDescent="0.3">
      <c r="A4" s="242"/>
      <c r="B4" s="116" t="s">
        <v>65</v>
      </c>
      <c r="C4" s="116" t="s">
        <v>66</v>
      </c>
      <c r="D4" s="116" t="s">
        <v>67</v>
      </c>
      <c r="E4" s="116" t="s">
        <v>68</v>
      </c>
      <c r="F4" s="116" t="s">
        <v>59</v>
      </c>
      <c r="G4" s="116" t="s">
        <v>69</v>
      </c>
      <c r="H4" s="116" t="s">
        <v>61</v>
      </c>
      <c r="I4" s="116" t="s">
        <v>70</v>
      </c>
      <c r="J4" s="116" t="s">
        <v>70</v>
      </c>
      <c r="K4" s="116" t="s">
        <v>70</v>
      </c>
      <c r="L4" s="116">
        <v>3</v>
      </c>
    </row>
    <row r="5" spans="1:12" x14ac:dyDescent="0.3">
      <c r="A5" s="242"/>
      <c r="B5" s="116" t="s">
        <v>65</v>
      </c>
      <c r="C5" s="116" t="s">
        <v>71</v>
      </c>
      <c r="D5" s="116" t="s">
        <v>67</v>
      </c>
      <c r="E5" s="116" t="s">
        <v>68</v>
      </c>
      <c r="F5" s="116" t="s">
        <v>59</v>
      </c>
      <c r="G5" s="116" t="s">
        <v>69</v>
      </c>
      <c r="H5" s="116" t="s">
        <v>61</v>
      </c>
      <c r="I5" s="116" t="s">
        <v>70</v>
      </c>
      <c r="J5" s="116" t="s">
        <v>70</v>
      </c>
      <c r="K5" s="116" t="s">
        <v>70</v>
      </c>
      <c r="L5" s="116">
        <v>3</v>
      </c>
    </row>
    <row r="6" spans="1:12" x14ac:dyDescent="0.3">
      <c r="A6" s="242"/>
      <c r="B6" s="116" t="s">
        <v>72</v>
      </c>
      <c r="C6" s="116" t="s">
        <v>73</v>
      </c>
      <c r="D6" s="116" t="s">
        <v>67</v>
      </c>
      <c r="E6" s="116" t="s">
        <v>68</v>
      </c>
      <c r="F6" s="116" t="s">
        <v>59</v>
      </c>
      <c r="G6" s="116" t="s">
        <v>69</v>
      </c>
      <c r="H6" s="116" t="s">
        <v>61</v>
      </c>
      <c r="I6" s="116" t="s">
        <v>70</v>
      </c>
      <c r="J6" s="116" t="s">
        <v>70</v>
      </c>
      <c r="K6" s="116" t="s">
        <v>70</v>
      </c>
      <c r="L6" s="116">
        <v>1</v>
      </c>
    </row>
    <row r="7" spans="1:12" x14ac:dyDescent="0.3">
      <c r="A7" s="243"/>
      <c r="B7" s="116" t="s">
        <v>72</v>
      </c>
      <c r="C7" s="116" t="s">
        <v>74</v>
      </c>
      <c r="D7" s="116" t="s">
        <v>67</v>
      </c>
      <c r="E7" s="116" t="s">
        <v>68</v>
      </c>
      <c r="F7" s="116" t="s">
        <v>59</v>
      </c>
      <c r="G7" s="116" t="s">
        <v>69</v>
      </c>
      <c r="H7" s="116" t="s">
        <v>61</v>
      </c>
      <c r="I7" s="116" t="s">
        <v>70</v>
      </c>
      <c r="J7" s="116" t="s">
        <v>70</v>
      </c>
      <c r="K7" s="116" t="s">
        <v>70</v>
      </c>
      <c r="L7" s="116">
        <v>1</v>
      </c>
    </row>
    <row r="9" spans="1:12" x14ac:dyDescent="0.3">
      <c r="A9" s="246">
        <v>2</v>
      </c>
      <c r="B9" s="115" t="s">
        <v>75</v>
      </c>
      <c r="C9" s="244" t="s">
        <v>76</v>
      </c>
      <c r="D9" s="245"/>
      <c r="E9" s="129" t="s">
        <v>77</v>
      </c>
      <c r="F9" s="129" t="s">
        <v>78</v>
      </c>
      <c r="G9" s="244" t="s">
        <v>79</v>
      </c>
      <c r="H9" s="245"/>
    </row>
    <row r="10" spans="1:12" x14ac:dyDescent="0.3">
      <c r="A10" s="246"/>
      <c r="B10" s="115" t="s">
        <v>80</v>
      </c>
      <c r="C10" s="239" t="s">
        <v>81</v>
      </c>
      <c r="D10" s="240"/>
      <c r="E10" s="128">
        <v>302</v>
      </c>
      <c r="F10" s="128" t="s">
        <v>82</v>
      </c>
      <c r="G10" s="239" t="s">
        <v>83</v>
      </c>
      <c r="H10" s="240"/>
    </row>
    <row r="11" spans="1:12" x14ac:dyDescent="0.3">
      <c r="A11" s="246"/>
      <c r="B11" s="115" t="s">
        <v>84</v>
      </c>
      <c r="C11" s="239" t="s">
        <v>85</v>
      </c>
      <c r="D11" s="240"/>
      <c r="E11" s="128">
        <v>302</v>
      </c>
      <c r="F11" s="128" t="s">
        <v>82</v>
      </c>
      <c r="G11" s="239" t="s">
        <v>83</v>
      </c>
      <c r="H11" s="240"/>
    </row>
    <row r="12" spans="1:12" x14ac:dyDescent="0.3">
      <c r="A12" s="246"/>
      <c r="B12" s="115" t="s">
        <v>86</v>
      </c>
      <c r="C12" s="239" t="s">
        <v>87</v>
      </c>
      <c r="D12" s="240"/>
      <c r="E12" s="128" t="s">
        <v>88</v>
      </c>
      <c r="F12" s="128" t="s">
        <v>88</v>
      </c>
      <c r="G12" s="239"/>
      <c r="H12" s="240"/>
    </row>
    <row r="13" spans="1:12" x14ac:dyDescent="0.3">
      <c r="A13" s="246"/>
      <c r="B13" s="115" t="s">
        <v>89</v>
      </c>
      <c r="C13" s="239" t="s">
        <v>90</v>
      </c>
      <c r="D13" s="240"/>
      <c r="E13" s="128">
        <v>303</v>
      </c>
      <c r="F13" s="128" t="s">
        <v>91</v>
      </c>
      <c r="G13" s="239" t="s">
        <v>83</v>
      </c>
      <c r="H13" s="240"/>
    </row>
    <row r="15" spans="1:12" x14ac:dyDescent="0.3">
      <c r="A15" s="246">
        <v>3</v>
      </c>
      <c r="B15" s="115" t="s">
        <v>92</v>
      </c>
      <c r="C15" s="244" t="s">
        <v>76</v>
      </c>
      <c r="D15" s="245"/>
      <c r="E15" s="244"/>
      <c r="F15" s="245"/>
      <c r="G15" s="244"/>
      <c r="H15" s="245"/>
    </row>
    <row r="16" spans="1:12" x14ac:dyDescent="0.3">
      <c r="A16" s="246"/>
      <c r="B16" s="115" t="s">
        <v>93</v>
      </c>
      <c r="C16" s="239" t="s">
        <v>94</v>
      </c>
      <c r="D16" s="240"/>
      <c r="E16" s="128">
        <v>302</v>
      </c>
      <c r="F16" s="128" t="s">
        <v>82</v>
      </c>
      <c r="G16" s="239" t="s">
        <v>83</v>
      </c>
      <c r="H16" s="240"/>
    </row>
    <row r="17" spans="1:10" x14ac:dyDescent="0.3">
      <c r="A17" s="246"/>
      <c r="B17" s="115" t="s">
        <v>95</v>
      </c>
      <c r="C17" s="239" t="s">
        <v>96</v>
      </c>
      <c r="D17" s="240"/>
      <c r="E17" s="128">
        <v>302</v>
      </c>
      <c r="F17" s="128" t="s">
        <v>82</v>
      </c>
      <c r="G17" s="239" t="s">
        <v>83</v>
      </c>
      <c r="H17" s="240"/>
    </row>
    <row r="18" spans="1:10" x14ac:dyDescent="0.3">
      <c r="A18" s="246"/>
      <c r="B18" s="115" t="s">
        <v>86</v>
      </c>
      <c r="C18" s="239" t="s">
        <v>97</v>
      </c>
      <c r="D18" s="240"/>
      <c r="E18" s="128" t="s">
        <v>88</v>
      </c>
      <c r="F18" s="128" t="s">
        <v>88</v>
      </c>
      <c r="G18" s="239"/>
      <c r="H18" s="240"/>
    </row>
    <row r="19" spans="1:10" x14ac:dyDescent="0.3">
      <c r="A19" s="246"/>
      <c r="B19" s="115" t="s">
        <v>89</v>
      </c>
      <c r="C19" s="239" t="s">
        <v>98</v>
      </c>
      <c r="D19" s="240"/>
      <c r="E19" s="128">
        <v>303</v>
      </c>
      <c r="F19" s="128" t="s">
        <v>91</v>
      </c>
      <c r="G19" s="239" t="s">
        <v>83</v>
      </c>
      <c r="H19" s="240"/>
    </row>
    <row r="22" spans="1:10" x14ac:dyDescent="0.3">
      <c r="A22" s="246">
        <v>4</v>
      </c>
      <c r="B22" s="245" t="s">
        <v>99</v>
      </c>
      <c r="C22" s="249"/>
      <c r="D22" s="249"/>
    </row>
    <row r="23" spans="1:10" x14ac:dyDescent="0.3">
      <c r="A23" s="246"/>
    </row>
    <row r="24" spans="1:10" x14ac:dyDescent="0.3">
      <c r="A24" s="246"/>
      <c r="B24" s="122" t="s">
        <v>100</v>
      </c>
      <c r="C24" s="115" t="s">
        <v>101</v>
      </c>
      <c r="D24" s="115" t="s">
        <v>102</v>
      </c>
      <c r="E24" s="115" t="s">
        <v>103</v>
      </c>
      <c r="F24" s="115" t="s">
        <v>104</v>
      </c>
      <c r="G24" s="115" t="s">
        <v>105</v>
      </c>
      <c r="H24" s="115" t="s">
        <v>106</v>
      </c>
      <c r="I24" s="115" t="s">
        <v>107</v>
      </c>
      <c r="J24" s="115" t="s">
        <v>79</v>
      </c>
    </row>
    <row r="25" spans="1:10" ht="28.8" x14ac:dyDescent="0.3">
      <c r="A25" s="246"/>
      <c r="B25" s="158" t="s">
        <v>108</v>
      </c>
      <c r="C25" s="115" t="s">
        <v>109</v>
      </c>
      <c r="D25" s="115" t="s">
        <v>110</v>
      </c>
      <c r="E25" s="115"/>
      <c r="F25" s="115" t="s">
        <v>109</v>
      </c>
      <c r="G25" s="115" t="s">
        <v>111</v>
      </c>
      <c r="H25" s="115" t="s">
        <v>112</v>
      </c>
      <c r="I25" s="115" t="s">
        <v>113</v>
      </c>
      <c r="J25" s="115" t="s">
        <v>114</v>
      </c>
    </row>
    <row r="26" spans="1:10" x14ac:dyDescent="0.3">
      <c r="A26" s="246"/>
      <c r="B26" s="122" t="s">
        <v>115</v>
      </c>
      <c r="C26" s="115">
        <v>443</v>
      </c>
      <c r="D26" s="115" t="s">
        <v>110</v>
      </c>
      <c r="E26" s="115"/>
      <c r="F26" s="115">
        <v>443</v>
      </c>
      <c r="G26" s="115" t="s">
        <v>111</v>
      </c>
      <c r="H26" s="115" t="s">
        <v>112</v>
      </c>
      <c r="I26" s="115" t="s">
        <v>113</v>
      </c>
      <c r="J26" s="115" t="s">
        <v>116</v>
      </c>
    </row>
    <row r="29" spans="1:10" x14ac:dyDescent="0.3">
      <c r="A29" s="258">
        <v>5</v>
      </c>
      <c r="B29" s="245" t="s">
        <v>117</v>
      </c>
      <c r="C29" s="249"/>
      <c r="D29" s="249"/>
      <c r="E29" s="249"/>
      <c r="F29" s="249"/>
      <c r="G29" s="244"/>
      <c r="H29" s="162"/>
      <c r="I29" s="160"/>
    </row>
    <row r="30" spans="1:10" x14ac:dyDescent="0.3">
      <c r="A30" s="246"/>
      <c r="B30" s="126" t="s">
        <v>118</v>
      </c>
      <c r="C30" s="126" t="s">
        <v>119</v>
      </c>
      <c r="D30" s="126" t="s">
        <v>120</v>
      </c>
      <c r="E30" s="126" t="s">
        <v>121</v>
      </c>
      <c r="F30" s="126" t="s">
        <v>122</v>
      </c>
      <c r="G30" s="161" t="s">
        <v>123</v>
      </c>
      <c r="H30" s="159" t="s">
        <v>124</v>
      </c>
      <c r="I30" s="160" t="s">
        <v>125</v>
      </c>
    </row>
    <row r="31" spans="1:10" x14ac:dyDescent="0.3">
      <c r="A31" s="246"/>
      <c r="B31" s="255" t="s">
        <v>126</v>
      </c>
      <c r="C31" s="250" t="s">
        <v>127</v>
      </c>
      <c r="D31" s="125" t="s">
        <v>128</v>
      </c>
      <c r="E31" s="126" t="s">
        <v>129</v>
      </c>
      <c r="F31" s="126" t="s">
        <v>130</v>
      </c>
      <c r="G31" s="161" t="s">
        <v>131</v>
      </c>
      <c r="H31" s="160"/>
      <c r="I31" s="160"/>
    </row>
    <row r="32" spans="1:10" x14ac:dyDescent="0.3">
      <c r="A32" s="246"/>
      <c r="B32" s="256"/>
      <c r="C32" s="250"/>
      <c r="D32" s="126" t="s">
        <v>132</v>
      </c>
      <c r="E32" s="126" t="s">
        <v>133</v>
      </c>
      <c r="F32" s="126" t="s">
        <v>130</v>
      </c>
      <c r="G32" s="161" t="s">
        <v>131</v>
      </c>
      <c r="H32" s="160"/>
      <c r="I32" s="160"/>
    </row>
    <row r="33" spans="1:9" x14ac:dyDescent="0.3">
      <c r="A33" s="246"/>
      <c r="B33" s="256"/>
      <c r="C33" s="251"/>
      <c r="D33" s="126" t="s">
        <v>134</v>
      </c>
      <c r="E33" s="126" t="s">
        <v>115</v>
      </c>
      <c r="F33" s="126" t="s">
        <v>135</v>
      </c>
      <c r="G33" s="161" t="s">
        <v>136</v>
      </c>
      <c r="H33" s="160"/>
      <c r="I33" s="160"/>
    </row>
    <row r="34" spans="1:9" x14ac:dyDescent="0.3">
      <c r="A34" s="246"/>
      <c r="B34" s="256"/>
      <c r="C34" s="252" t="s">
        <v>137</v>
      </c>
      <c r="D34" s="126" t="s">
        <v>138</v>
      </c>
      <c r="E34" s="126" t="s">
        <v>139</v>
      </c>
      <c r="F34" s="126" t="s">
        <v>130</v>
      </c>
      <c r="G34" s="161" t="s">
        <v>140</v>
      </c>
      <c r="H34" s="160"/>
      <c r="I34" s="160"/>
    </row>
    <row r="35" spans="1:9" x14ac:dyDescent="0.3">
      <c r="A35" s="246"/>
      <c r="B35" s="256"/>
      <c r="C35" s="253"/>
      <c r="D35" s="126" t="s">
        <v>141</v>
      </c>
      <c r="E35" s="126" t="s">
        <v>142</v>
      </c>
      <c r="F35" s="126" t="s">
        <v>130</v>
      </c>
      <c r="G35" s="161" t="s">
        <v>143</v>
      </c>
      <c r="H35" s="160" t="s">
        <v>144</v>
      </c>
      <c r="I35" s="160"/>
    </row>
    <row r="36" spans="1:9" x14ac:dyDescent="0.3">
      <c r="A36" s="246"/>
      <c r="B36" s="256"/>
      <c r="C36" s="253"/>
      <c r="D36" s="126" t="s">
        <v>145</v>
      </c>
      <c r="E36" s="126" t="s">
        <v>146</v>
      </c>
      <c r="F36" s="126" t="s">
        <v>130</v>
      </c>
      <c r="G36" s="161" t="s">
        <v>147</v>
      </c>
      <c r="H36" s="160" t="s">
        <v>148</v>
      </c>
      <c r="I36" s="160"/>
    </row>
    <row r="37" spans="1:9" x14ac:dyDescent="0.3">
      <c r="A37" s="246"/>
      <c r="B37" s="256"/>
      <c r="C37" s="253"/>
      <c r="D37" s="126" t="s">
        <v>149</v>
      </c>
      <c r="E37" s="126" t="s">
        <v>150</v>
      </c>
      <c r="F37" s="126" t="s">
        <v>130</v>
      </c>
      <c r="G37" s="161" t="s">
        <v>151</v>
      </c>
      <c r="H37" s="160" t="s">
        <v>152</v>
      </c>
      <c r="I37" s="160"/>
    </row>
    <row r="38" spans="1:9" x14ac:dyDescent="0.3">
      <c r="A38" s="246"/>
      <c r="B38" s="256"/>
      <c r="C38" s="253"/>
      <c r="D38" s="126" t="s">
        <v>153</v>
      </c>
      <c r="E38" s="126" t="s">
        <v>154</v>
      </c>
      <c r="F38" s="126" t="s">
        <v>130</v>
      </c>
      <c r="G38" s="161" t="s">
        <v>155</v>
      </c>
      <c r="H38" s="160" t="s">
        <v>156</v>
      </c>
      <c r="I38" s="160"/>
    </row>
    <row r="39" spans="1:9" x14ac:dyDescent="0.3">
      <c r="A39" s="246"/>
      <c r="B39" s="256"/>
      <c r="C39" s="253"/>
      <c r="D39" s="126" t="s">
        <v>157</v>
      </c>
      <c r="E39" s="126" t="s">
        <v>158</v>
      </c>
      <c r="F39" s="126" t="s">
        <v>130</v>
      </c>
      <c r="G39" s="161" t="s">
        <v>159</v>
      </c>
      <c r="H39" s="160" t="s">
        <v>160</v>
      </c>
      <c r="I39" s="160"/>
    </row>
    <row r="40" spans="1:9" x14ac:dyDescent="0.3">
      <c r="A40" s="246"/>
      <c r="B40" s="256"/>
      <c r="C40" s="253"/>
      <c r="D40" s="126" t="s">
        <v>161</v>
      </c>
      <c r="E40" s="126" t="s">
        <v>162</v>
      </c>
      <c r="F40" s="126" t="s">
        <v>130</v>
      </c>
      <c r="G40" s="161" t="s">
        <v>163</v>
      </c>
      <c r="H40" s="160" t="s">
        <v>164</v>
      </c>
      <c r="I40" s="160"/>
    </row>
    <row r="41" spans="1:9" x14ac:dyDescent="0.3">
      <c r="A41" s="246"/>
      <c r="B41" s="256"/>
      <c r="C41" s="253"/>
      <c r="D41" s="126" t="s">
        <v>165</v>
      </c>
      <c r="E41" s="126" t="s">
        <v>166</v>
      </c>
      <c r="F41" s="126" t="s">
        <v>130</v>
      </c>
      <c r="G41" s="161" t="s">
        <v>167</v>
      </c>
      <c r="H41" s="160" t="s">
        <v>168</v>
      </c>
      <c r="I41" s="160"/>
    </row>
    <row r="42" spans="1:9" x14ac:dyDescent="0.3">
      <c r="A42" s="246"/>
      <c r="B42" s="256"/>
      <c r="C42" s="253"/>
      <c r="D42" s="126" t="s">
        <v>169</v>
      </c>
      <c r="E42" s="126" t="s">
        <v>170</v>
      </c>
      <c r="F42" s="126" t="s">
        <v>130</v>
      </c>
      <c r="G42" s="161" t="s">
        <v>171</v>
      </c>
      <c r="H42" s="160" t="s">
        <v>172</v>
      </c>
      <c r="I42" s="160" t="s">
        <v>173</v>
      </c>
    </row>
    <row r="43" spans="1:9" x14ac:dyDescent="0.3">
      <c r="A43" s="246"/>
      <c r="B43" s="256"/>
      <c r="C43" s="253"/>
      <c r="D43" s="126" t="s">
        <v>174</v>
      </c>
      <c r="E43" s="126" t="s">
        <v>175</v>
      </c>
      <c r="F43" s="126" t="s">
        <v>130</v>
      </c>
      <c r="G43" s="161" t="s">
        <v>176</v>
      </c>
      <c r="H43" s="160" t="s">
        <v>177</v>
      </c>
      <c r="I43" s="160" t="s">
        <v>178</v>
      </c>
    </row>
    <row r="44" spans="1:9" x14ac:dyDescent="0.3">
      <c r="A44" s="259"/>
      <c r="B44" s="257"/>
      <c r="C44" s="254"/>
      <c r="D44" s="126" t="s">
        <v>179</v>
      </c>
      <c r="E44" s="126" t="s">
        <v>180</v>
      </c>
      <c r="F44" s="126" t="s">
        <v>130</v>
      </c>
      <c r="G44" s="161" t="s">
        <v>181</v>
      </c>
      <c r="H44" s="160" t="s">
        <v>182</v>
      </c>
      <c r="I44" s="160" t="s">
        <v>183</v>
      </c>
    </row>
    <row r="45" spans="1:9" x14ac:dyDescent="0.3">
      <c r="A45" s="263">
        <v>6</v>
      </c>
      <c r="B45" s="262" t="s">
        <v>184</v>
      </c>
      <c r="C45" s="260" t="s">
        <v>137</v>
      </c>
      <c r="D45" s="126"/>
      <c r="E45" s="126" t="s">
        <v>185</v>
      </c>
      <c r="F45" s="126" t="s">
        <v>130</v>
      </c>
      <c r="G45" s="161" t="s">
        <v>186</v>
      </c>
      <c r="H45" s="160"/>
      <c r="I45" s="160"/>
    </row>
    <row r="46" spans="1:9" x14ac:dyDescent="0.3">
      <c r="A46" s="263"/>
      <c r="B46" s="262"/>
      <c r="C46" s="261"/>
      <c r="D46" s="126"/>
      <c r="E46" s="126" t="s">
        <v>187</v>
      </c>
      <c r="F46" s="126" t="s">
        <v>130</v>
      </c>
      <c r="G46" s="161" t="s">
        <v>188</v>
      </c>
      <c r="H46" s="160"/>
      <c r="I46" s="160"/>
    </row>
    <row r="47" spans="1:9" x14ac:dyDescent="0.3">
      <c r="A47" s="263"/>
      <c r="B47" s="262"/>
      <c r="C47" s="261"/>
      <c r="D47" s="126"/>
      <c r="E47" s="126" t="s">
        <v>189</v>
      </c>
      <c r="F47" s="126" t="s">
        <v>130</v>
      </c>
      <c r="G47" s="161" t="s">
        <v>190</v>
      </c>
      <c r="H47" s="160"/>
      <c r="I47" s="160"/>
    </row>
    <row r="48" spans="1:9" x14ac:dyDescent="0.3">
      <c r="B48" s="150"/>
      <c r="C48" s="150"/>
      <c r="D48" s="151"/>
      <c r="E48" s="151"/>
      <c r="F48" s="151"/>
      <c r="G48" s="151"/>
    </row>
    <row r="50" spans="1:7" x14ac:dyDescent="0.3">
      <c r="A50" s="246">
        <v>6</v>
      </c>
      <c r="B50" s="264" t="s">
        <v>191</v>
      </c>
      <c r="C50" s="265"/>
      <c r="D50" s="265"/>
      <c r="E50" s="265"/>
      <c r="F50" s="265"/>
    </row>
    <row r="51" spans="1:7" x14ac:dyDescent="0.3">
      <c r="A51" s="246"/>
      <c r="B51" s="245" t="s">
        <v>192</v>
      </c>
      <c r="C51" s="249"/>
      <c r="D51" s="249"/>
      <c r="E51" s="249"/>
      <c r="F51" s="249"/>
    </row>
    <row r="52" spans="1:7" x14ac:dyDescent="0.3">
      <c r="A52" s="246"/>
      <c r="B52" s="123" t="s">
        <v>76</v>
      </c>
      <c r="C52" s="124" t="s">
        <v>193</v>
      </c>
      <c r="D52" s="124" t="s">
        <v>194</v>
      </c>
      <c r="E52" s="124" t="s">
        <v>195</v>
      </c>
      <c r="F52" s="124" t="s">
        <v>196</v>
      </c>
    </row>
    <row r="53" spans="1:7" x14ac:dyDescent="0.3">
      <c r="A53" s="246"/>
      <c r="B53" s="117" t="s">
        <v>197</v>
      </c>
      <c r="C53" s="118" t="s">
        <v>198</v>
      </c>
      <c r="D53" s="119" t="s">
        <v>199</v>
      </c>
      <c r="E53" s="119">
        <v>53</v>
      </c>
      <c r="F53" s="119" t="s">
        <v>200</v>
      </c>
    </row>
    <row r="54" spans="1:7" x14ac:dyDescent="0.3">
      <c r="A54" s="246"/>
      <c r="B54" s="117" t="s">
        <v>201</v>
      </c>
      <c r="C54" s="118" t="s">
        <v>198</v>
      </c>
      <c r="D54" s="119" t="s">
        <v>199</v>
      </c>
      <c r="E54" s="119">
        <v>123</v>
      </c>
      <c r="F54" s="119" t="s">
        <v>202</v>
      </c>
    </row>
    <row r="55" spans="1:7" ht="27" x14ac:dyDescent="0.3">
      <c r="A55" s="246"/>
      <c r="B55" s="117" t="s">
        <v>203</v>
      </c>
      <c r="C55" s="118" t="s">
        <v>198</v>
      </c>
      <c r="D55" s="119" t="s">
        <v>204</v>
      </c>
      <c r="E55" s="119" t="s">
        <v>205</v>
      </c>
      <c r="F55" s="119" t="s">
        <v>206</v>
      </c>
    </row>
    <row r="56" spans="1:7" x14ac:dyDescent="0.3">
      <c r="A56" s="246"/>
      <c r="B56" s="117" t="s">
        <v>207</v>
      </c>
      <c r="C56" s="118" t="s">
        <v>198</v>
      </c>
      <c r="D56" s="119" t="s">
        <v>208</v>
      </c>
      <c r="E56" s="119">
        <v>443</v>
      </c>
      <c r="F56" s="119" t="s">
        <v>206</v>
      </c>
    </row>
    <row r="57" spans="1:7" x14ac:dyDescent="0.3">
      <c r="A57" s="246"/>
      <c r="B57" s="117" t="s">
        <v>209</v>
      </c>
      <c r="C57" s="119" t="s">
        <v>208</v>
      </c>
      <c r="D57" s="118" t="s">
        <v>198</v>
      </c>
      <c r="E57" s="119">
        <v>443</v>
      </c>
      <c r="F57" s="119" t="s">
        <v>206</v>
      </c>
    </row>
    <row r="58" spans="1:7" ht="27" x14ac:dyDescent="0.3">
      <c r="A58" s="246"/>
      <c r="B58" s="117" t="s">
        <v>210</v>
      </c>
      <c r="C58" s="119" t="s">
        <v>204</v>
      </c>
      <c r="D58" s="118" t="s">
        <v>198</v>
      </c>
      <c r="E58" s="119" t="s">
        <v>205</v>
      </c>
      <c r="F58" s="119" t="s">
        <v>206</v>
      </c>
    </row>
    <row r="59" spans="1:7" x14ac:dyDescent="0.3">
      <c r="A59" s="246"/>
      <c r="B59" s="117" t="s">
        <v>211</v>
      </c>
      <c r="C59" s="120" t="s">
        <v>212</v>
      </c>
      <c r="D59" s="118" t="s">
        <v>198</v>
      </c>
      <c r="E59" s="121">
        <v>226443</v>
      </c>
      <c r="F59" s="119" t="s">
        <v>206</v>
      </c>
    </row>
    <row r="60" spans="1:7" x14ac:dyDescent="0.3">
      <c r="A60" s="246"/>
      <c r="B60" s="117" t="s">
        <v>213</v>
      </c>
      <c r="C60" s="120" t="s">
        <v>212</v>
      </c>
      <c r="D60" s="119" t="s">
        <v>208</v>
      </c>
      <c r="E60" s="119">
        <v>443</v>
      </c>
      <c r="F60" s="119" t="s">
        <v>206</v>
      </c>
    </row>
    <row r="61" spans="1:7" x14ac:dyDescent="0.3">
      <c r="A61" s="246"/>
      <c r="B61" s="117" t="s">
        <v>214</v>
      </c>
      <c r="C61" s="120" t="s">
        <v>212</v>
      </c>
      <c r="D61" s="119" t="s">
        <v>204</v>
      </c>
      <c r="E61" s="119">
        <v>6443</v>
      </c>
      <c r="F61" s="119" t="s">
        <v>206</v>
      </c>
    </row>
    <row r="62" spans="1:7" x14ac:dyDescent="0.3">
      <c r="A62" s="246"/>
      <c r="B62" s="117" t="s">
        <v>215</v>
      </c>
      <c r="C62" s="118" t="s">
        <v>216</v>
      </c>
      <c r="D62" s="118" t="s">
        <v>217</v>
      </c>
      <c r="E62" s="119">
        <v>8080</v>
      </c>
      <c r="F62" s="119" t="s">
        <v>206</v>
      </c>
    </row>
    <row r="63" spans="1:7" x14ac:dyDescent="0.3">
      <c r="A63" s="246"/>
    </row>
    <row r="64" spans="1:7" x14ac:dyDescent="0.3">
      <c r="A64" s="246"/>
      <c r="B64" s="245" t="s">
        <v>218</v>
      </c>
      <c r="C64" s="249"/>
      <c r="D64" s="249"/>
      <c r="E64" s="249"/>
      <c r="F64" s="249"/>
      <c r="G64" s="249"/>
    </row>
    <row r="65" spans="1:7" x14ac:dyDescent="0.3">
      <c r="A65" s="246"/>
      <c r="B65" s="176" t="s">
        <v>76</v>
      </c>
      <c r="C65" s="177" t="s">
        <v>193</v>
      </c>
      <c r="D65" s="176" t="s">
        <v>194</v>
      </c>
      <c r="E65" s="176" t="s">
        <v>195</v>
      </c>
      <c r="F65" s="176" t="s">
        <v>196</v>
      </c>
      <c r="G65" s="176" t="s">
        <v>219</v>
      </c>
    </row>
    <row r="66" spans="1:7" x14ac:dyDescent="0.3">
      <c r="A66" s="246"/>
      <c r="B66" s="176" t="s">
        <v>220</v>
      </c>
      <c r="C66" s="177" t="s">
        <v>221</v>
      </c>
      <c r="D66" s="176" t="s">
        <v>222</v>
      </c>
      <c r="E66" s="176">
        <v>443</v>
      </c>
      <c r="F66" s="176" t="s">
        <v>206</v>
      </c>
      <c r="G66" s="176" t="s">
        <v>223</v>
      </c>
    </row>
    <row r="67" spans="1:7" x14ac:dyDescent="0.3">
      <c r="A67" s="246"/>
      <c r="B67" s="176" t="s">
        <v>224</v>
      </c>
      <c r="C67" s="177" t="s">
        <v>221</v>
      </c>
      <c r="D67" s="176" t="s">
        <v>225</v>
      </c>
      <c r="E67" s="176">
        <v>443</v>
      </c>
      <c r="F67" s="176" t="s">
        <v>206</v>
      </c>
      <c r="G67" s="176" t="s">
        <v>223</v>
      </c>
    </row>
    <row r="68" spans="1:7" x14ac:dyDescent="0.3">
      <c r="A68" s="246"/>
      <c r="B68" s="176" t="s">
        <v>226</v>
      </c>
      <c r="C68" s="177" t="s">
        <v>221</v>
      </c>
      <c r="D68" s="176" t="s">
        <v>227</v>
      </c>
      <c r="E68" s="176">
        <v>443</v>
      </c>
      <c r="F68" s="176" t="s">
        <v>206</v>
      </c>
      <c r="G68" s="176" t="s">
        <v>223</v>
      </c>
    </row>
    <row r="69" spans="1:7" x14ac:dyDescent="0.3">
      <c r="A69" s="246"/>
      <c r="B69" s="176" t="s">
        <v>228</v>
      </c>
      <c r="C69" s="177" t="s">
        <v>221</v>
      </c>
      <c r="D69" s="176" t="s">
        <v>229</v>
      </c>
      <c r="E69" s="176">
        <v>53</v>
      </c>
      <c r="F69" s="176" t="s">
        <v>230</v>
      </c>
      <c r="G69" s="176" t="s">
        <v>223</v>
      </c>
    </row>
    <row r="70" spans="1:7" x14ac:dyDescent="0.3">
      <c r="A70" s="246"/>
    </row>
    <row r="71" spans="1:7" x14ac:dyDescent="0.3">
      <c r="A71" s="246"/>
      <c r="B71" s="245" t="s">
        <v>231</v>
      </c>
      <c r="C71" s="249"/>
      <c r="D71" s="249"/>
      <c r="E71" s="249"/>
      <c r="F71" s="249"/>
    </row>
    <row r="72" spans="1:7" x14ac:dyDescent="0.3">
      <c r="A72" s="246"/>
      <c r="B72" s="122" t="s">
        <v>232</v>
      </c>
      <c r="C72" s="115" t="s">
        <v>193</v>
      </c>
      <c r="D72" s="115" t="s">
        <v>194</v>
      </c>
      <c r="E72" s="115" t="s">
        <v>233</v>
      </c>
      <c r="F72" s="115" t="s">
        <v>234</v>
      </c>
    </row>
    <row r="73" spans="1:7" x14ac:dyDescent="0.3">
      <c r="A73" s="246"/>
      <c r="B73" s="122" t="s">
        <v>235</v>
      </c>
      <c r="C73" s="115" t="s">
        <v>236</v>
      </c>
      <c r="D73" s="115" t="s">
        <v>237</v>
      </c>
      <c r="E73" s="115">
        <v>443</v>
      </c>
      <c r="F73" s="115" t="s">
        <v>200</v>
      </c>
    </row>
    <row r="74" spans="1:7" x14ac:dyDescent="0.3">
      <c r="A74" s="246"/>
      <c r="B74" s="122" t="s">
        <v>238</v>
      </c>
      <c r="C74" s="122" t="s">
        <v>239</v>
      </c>
      <c r="D74" s="122" t="s">
        <v>237</v>
      </c>
      <c r="E74" s="122">
        <v>443</v>
      </c>
      <c r="F74" s="122" t="s">
        <v>200</v>
      </c>
    </row>
    <row r="75" spans="1:7" x14ac:dyDescent="0.3">
      <c r="A75" s="246"/>
      <c r="B75" s="122" t="s">
        <v>240</v>
      </c>
      <c r="C75" s="122" t="s">
        <v>241</v>
      </c>
      <c r="D75" s="122" t="s">
        <v>237</v>
      </c>
      <c r="E75" s="122">
        <v>443</v>
      </c>
      <c r="F75" s="122" t="s">
        <v>200</v>
      </c>
    </row>
  </sheetData>
  <mergeCells count="40">
    <mergeCell ref="C45:C47"/>
    <mergeCell ref="B45:B47"/>
    <mergeCell ref="A45:A47"/>
    <mergeCell ref="A50:A75"/>
    <mergeCell ref="B50:F50"/>
    <mergeCell ref="B51:F51"/>
    <mergeCell ref="B64:G64"/>
    <mergeCell ref="B71:F71"/>
    <mergeCell ref="A22:A26"/>
    <mergeCell ref="B22:D22"/>
    <mergeCell ref="C31:C33"/>
    <mergeCell ref="C34:C44"/>
    <mergeCell ref="B31:B44"/>
    <mergeCell ref="B29:G29"/>
    <mergeCell ref="A29:A44"/>
    <mergeCell ref="B1:L1"/>
    <mergeCell ref="A9:A13"/>
    <mergeCell ref="C9:D9"/>
    <mergeCell ref="C10:D10"/>
    <mergeCell ref="C11:D11"/>
    <mergeCell ref="C12:D12"/>
    <mergeCell ref="C13:D13"/>
    <mergeCell ref="G9:H9"/>
    <mergeCell ref="G10:H10"/>
    <mergeCell ref="G11:H11"/>
    <mergeCell ref="G19:H19"/>
    <mergeCell ref="A2:A7"/>
    <mergeCell ref="G12:H12"/>
    <mergeCell ref="G13:H13"/>
    <mergeCell ref="C15:D15"/>
    <mergeCell ref="E15:F15"/>
    <mergeCell ref="G15:H15"/>
    <mergeCell ref="A15:A19"/>
    <mergeCell ref="C16:D16"/>
    <mergeCell ref="G16:H16"/>
    <mergeCell ref="C17:D17"/>
    <mergeCell ref="G17:H17"/>
    <mergeCell ref="C18:D18"/>
    <mergeCell ref="G18:H18"/>
    <mergeCell ref="C19:D19"/>
  </mergeCells>
  <phoneticPr fontId="3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F74A3-D2C7-4E84-925C-C23CC0B469E0}">
  <dimension ref="A1:M399"/>
  <sheetViews>
    <sheetView zoomScale="90" zoomScaleNormal="90" workbookViewId="0">
      <pane ySplit="1" topLeftCell="A2" activePane="bottomLeft" state="frozen"/>
      <selection activeCell="G2" sqref="G2"/>
      <selection pane="bottomLeft" activeCell="G37" sqref="G37"/>
    </sheetView>
  </sheetViews>
  <sheetFormatPr defaultColWidth="9.109375" defaultRowHeight="15" customHeight="1" x14ac:dyDescent="0.3"/>
  <cols>
    <col min="1" max="1" width="6.33203125" style="8" bestFit="1" customWidth="1"/>
    <col min="2" max="2" width="34.109375" style="137" customWidth="1"/>
    <col min="3" max="3" width="44" style="80" customWidth="1"/>
    <col min="4" max="4" width="11.44140625" style="85" customWidth="1"/>
    <col min="5" max="6" width="10.109375" style="85" customWidth="1"/>
    <col min="7" max="7" width="65.6640625" style="80" customWidth="1"/>
    <col min="8" max="8" width="50.109375" style="88" customWidth="1"/>
    <col min="9" max="9" width="14.88671875" style="85" customWidth="1"/>
    <col min="10" max="10" width="13.88671875" style="85" customWidth="1"/>
    <col min="11" max="11" width="13.6640625" style="85" customWidth="1"/>
    <col min="12" max="12" width="95.88671875" style="227" customWidth="1"/>
    <col min="13" max="13" width="13.5546875" style="82" bestFit="1" customWidth="1"/>
  </cols>
  <sheetData>
    <row r="1" spans="1:13" ht="28.8" x14ac:dyDescent="0.3">
      <c r="A1" s="8" t="s">
        <v>242</v>
      </c>
      <c r="B1" s="137" t="s">
        <v>45</v>
      </c>
      <c r="C1" s="79" t="s">
        <v>1</v>
      </c>
      <c r="D1" s="3" t="s">
        <v>243</v>
      </c>
      <c r="E1" s="3" t="s">
        <v>244</v>
      </c>
      <c r="F1" s="3" t="s">
        <v>245</v>
      </c>
      <c r="G1" s="81" t="s">
        <v>2</v>
      </c>
      <c r="H1" s="81" t="s">
        <v>246</v>
      </c>
      <c r="I1" s="81" t="s">
        <v>247</v>
      </c>
      <c r="J1" s="81" t="s">
        <v>248</v>
      </c>
      <c r="K1" s="3" t="s">
        <v>249</v>
      </c>
      <c r="L1" s="202" t="s">
        <v>250</v>
      </c>
      <c r="M1" s="199" t="s">
        <v>251</v>
      </c>
    </row>
    <row r="2" spans="1:13" s="6" customFormat="1" ht="28.8" x14ac:dyDescent="0.3">
      <c r="A2" s="93">
        <v>1</v>
      </c>
      <c r="B2" s="152" t="s">
        <v>252</v>
      </c>
      <c r="C2" s="152" t="s">
        <v>253</v>
      </c>
      <c r="D2" s="153" t="s">
        <v>254</v>
      </c>
      <c r="E2" s="153" t="s">
        <v>255</v>
      </c>
      <c r="F2" s="154" t="s">
        <v>256</v>
      </c>
      <c r="G2" s="155" t="s">
        <v>257</v>
      </c>
      <c r="H2" s="155" t="s">
        <v>258</v>
      </c>
      <c r="I2" s="156" t="s">
        <v>259</v>
      </c>
      <c r="J2" s="154"/>
      <c r="K2" s="165">
        <v>1</v>
      </c>
      <c r="L2" s="203"/>
      <c r="M2" s="83"/>
    </row>
    <row r="3" spans="1:13" s="6" customFormat="1" ht="28.8" x14ac:dyDescent="0.3">
      <c r="A3" s="93">
        <v>2</v>
      </c>
      <c r="B3" s="152" t="s">
        <v>260</v>
      </c>
      <c r="C3" s="152" t="s">
        <v>261</v>
      </c>
      <c r="D3" s="157">
        <v>45946</v>
      </c>
      <c r="E3" s="157">
        <v>45947</v>
      </c>
      <c r="F3" s="154" t="s">
        <v>256</v>
      </c>
      <c r="G3" s="155" t="s">
        <v>262</v>
      </c>
      <c r="H3" s="155" t="s">
        <v>263</v>
      </c>
      <c r="I3" s="165" t="s">
        <v>264</v>
      </c>
      <c r="J3" s="154"/>
      <c r="K3" s="165">
        <v>1</v>
      </c>
      <c r="L3" s="203"/>
      <c r="M3" s="83"/>
    </row>
    <row r="4" spans="1:13" s="6" customFormat="1" ht="43.2" x14ac:dyDescent="0.3">
      <c r="A4" s="93">
        <v>3</v>
      </c>
      <c r="B4" s="152" t="s">
        <v>260</v>
      </c>
      <c r="C4" s="152" t="s">
        <v>265</v>
      </c>
      <c r="D4" s="157">
        <v>45952</v>
      </c>
      <c r="E4" s="157">
        <v>45964</v>
      </c>
      <c r="F4" s="154" t="s">
        <v>256</v>
      </c>
      <c r="G4" s="155" t="s">
        <v>266</v>
      </c>
      <c r="H4" s="155" t="s">
        <v>267</v>
      </c>
      <c r="I4" s="165" t="s">
        <v>264</v>
      </c>
      <c r="J4" s="154" t="s">
        <v>268</v>
      </c>
      <c r="K4" s="165">
        <v>1</v>
      </c>
      <c r="L4" s="203"/>
      <c r="M4" s="83"/>
    </row>
    <row r="5" spans="1:13" s="6" customFormat="1" ht="14.4" x14ac:dyDescent="0.3">
      <c r="A5" s="93">
        <v>4</v>
      </c>
      <c r="B5" s="152" t="s">
        <v>269</v>
      </c>
      <c r="C5" s="152" t="s">
        <v>270</v>
      </c>
      <c r="D5" s="157">
        <v>45957</v>
      </c>
      <c r="E5" s="157">
        <v>45958</v>
      </c>
      <c r="F5" s="154" t="s">
        <v>256</v>
      </c>
      <c r="G5" s="155" t="s">
        <v>271</v>
      </c>
      <c r="H5" s="155" t="s">
        <v>258</v>
      </c>
      <c r="I5" s="156" t="s">
        <v>259</v>
      </c>
      <c r="J5" s="154" t="s">
        <v>272</v>
      </c>
      <c r="K5" s="165">
        <v>2</v>
      </c>
      <c r="L5" s="203" t="s">
        <v>273</v>
      </c>
      <c r="M5" s="83"/>
    </row>
    <row r="6" spans="1:13" s="6" customFormat="1" ht="14.4" x14ac:dyDescent="0.3">
      <c r="A6" s="93">
        <v>3</v>
      </c>
      <c r="B6" s="152" t="s">
        <v>260</v>
      </c>
      <c r="C6" s="152" t="s">
        <v>274</v>
      </c>
      <c r="D6" s="157"/>
      <c r="E6" s="157">
        <v>45986</v>
      </c>
      <c r="F6" s="154" t="s">
        <v>256</v>
      </c>
      <c r="G6" s="155" t="s">
        <v>275</v>
      </c>
      <c r="H6" s="155" t="s">
        <v>276</v>
      </c>
      <c r="I6" s="165" t="s">
        <v>264</v>
      </c>
      <c r="J6" s="154" t="s">
        <v>277</v>
      </c>
      <c r="K6" s="165"/>
      <c r="L6" s="203"/>
      <c r="M6" s="83"/>
    </row>
    <row r="7" spans="1:13" s="6" customFormat="1" ht="14.4" x14ac:dyDescent="0.3">
      <c r="A7" s="93">
        <v>5</v>
      </c>
      <c r="B7" s="152" t="s">
        <v>269</v>
      </c>
      <c r="C7" s="152" t="s">
        <v>278</v>
      </c>
      <c r="D7" s="157">
        <v>45973</v>
      </c>
      <c r="E7" s="157">
        <v>45988</v>
      </c>
      <c r="F7" s="154" t="s">
        <v>256</v>
      </c>
      <c r="G7" s="155" t="s">
        <v>279</v>
      </c>
      <c r="H7" s="155" t="s">
        <v>280</v>
      </c>
      <c r="I7" s="165" t="s">
        <v>259</v>
      </c>
      <c r="J7" s="154" t="s">
        <v>281</v>
      </c>
      <c r="K7" s="165"/>
      <c r="L7" s="203" t="s">
        <v>282</v>
      </c>
      <c r="M7" s="83"/>
    </row>
    <row r="8" spans="1:13" s="6" customFormat="1" ht="14.4" x14ac:dyDescent="0.3">
      <c r="A8" s="93">
        <v>5</v>
      </c>
      <c r="B8" s="152" t="s">
        <v>269</v>
      </c>
      <c r="C8" s="152" t="s">
        <v>283</v>
      </c>
      <c r="D8" s="157">
        <v>45979</v>
      </c>
      <c r="E8" s="157">
        <v>45980</v>
      </c>
      <c r="F8" s="154" t="s">
        <v>256</v>
      </c>
      <c r="G8" s="155" t="s">
        <v>284</v>
      </c>
      <c r="H8" s="155" t="s">
        <v>285</v>
      </c>
      <c r="I8" s="165" t="s">
        <v>259</v>
      </c>
      <c r="J8" s="154" t="s">
        <v>286</v>
      </c>
      <c r="K8" s="165"/>
      <c r="L8" s="203" t="s">
        <v>287</v>
      </c>
      <c r="M8" s="83"/>
    </row>
    <row r="9" spans="1:13" s="6" customFormat="1" ht="14.4" x14ac:dyDescent="0.3">
      <c r="A9" s="93">
        <v>6</v>
      </c>
      <c r="B9" s="152" t="s">
        <v>269</v>
      </c>
      <c r="C9" s="152" t="s">
        <v>288</v>
      </c>
      <c r="D9" s="157">
        <v>45959</v>
      </c>
      <c r="E9" s="157">
        <v>45980</v>
      </c>
      <c r="F9" s="154" t="s">
        <v>256</v>
      </c>
      <c r="G9" s="155" t="s">
        <v>289</v>
      </c>
      <c r="H9" s="155" t="s">
        <v>290</v>
      </c>
      <c r="I9" s="165" t="s">
        <v>291</v>
      </c>
      <c r="J9" s="154"/>
      <c r="K9" s="165"/>
      <c r="L9" s="203" t="s">
        <v>292</v>
      </c>
      <c r="M9" s="83"/>
    </row>
    <row r="10" spans="1:13" s="6" customFormat="1" ht="28.8" x14ac:dyDescent="0.3">
      <c r="A10" s="93">
        <v>8</v>
      </c>
      <c r="B10" s="152" t="s">
        <v>252</v>
      </c>
      <c r="C10" s="152" t="s">
        <v>293</v>
      </c>
      <c r="D10" s="157">
        <v>45964</v>
      </c>
      <c r="E10" s="157">
        <v>45964</v>
      </c>
      <c r="F10" s="154" t="s">
        <v>256</v>
      </c>
      <c r="G10" s="155" t="s">
        <v>294</v>
      </c>
      <c r="H10" s="155" t="s">
        <v>295</v>
      </c>
      <c r="I10" s="165" t="s">
        <v>268</v>
      </c>
      <c r="J10" s="154"/>
      <c r="K10" s="165"/>
      <c r="L10" s="203"/>
      <c r="M10" s="83"/>
    </row>
    <row r="11" spans="1:13" s="6" customFormat="1" ht="14.4" x14ac:dyDescent="0.3">
      <c r="A11" s="93">
        <v>9</v>
      </c>
      <c r="B11" s="152" t="s">
        <v>296</v>
      </c>
      <c r="C11" s="152" t="s">
        <v>297</v>
      </c>
      <c r="D11" s="157">
        <v>45968</v>
      </c>
      <c r="E11" s="157">
        <v>45968</v>
      </c>
      <c r="F11" s="154" t="s">
        <v>256</v>
      </c>
      <c r="G11" s="155" t="s">
        <v>298</v>
      </c>
      <c r="H11" s="155" t="s">
        <v>299</v>
      </c>
      <c r="I11" s="156" t="s">
        <v>259</v>
      </c>
      <c r="J11" s="154" t="s">
        <v>300</v>
      </c>
      <c r="K11" s="165"/>
      <c r="L11" s="203" t="s">
        <v>301</v>
      </c>
      <c r="M11" s="83"/>
    </row>
    <row r="12" spans="1:13" s="6" customFormat="1" ht="28.8" x14ac:dyDescent="0.3">
      <c r="A12" s="93">
        <v>10</v>
      </c>
      <c r="B12" s="86" t="s">
        <v>296</v>
      </c>
      <c r="C12" s="86" t="s">
        <v>302</v>
      </c>
      <c r="D12" s="96">
        <v>45985</v>
      </c>
      <c r="E12" s="96"/>
      <c r="F12" s="93" t="s">
        <v>303</v>
      </c>
      <c r="G12" s="78" t="s">
        <v>304</v>
      </c>
      <c r="H12" s="78" t="s">
        <v>305</v>
      </c>
      <c r="I12" s="166" t="s">
        <v>306</v>
      </c>
      <c r="J12" s="93"/>
      <c r="K12" s="166"/>
      <c r="L12" s="203" t="s">
        <v>307</v>
      </c>
      <c r="M12" s="83"/>
    </row>
    <row r="13" spans="1:13" s="6" customFormat="1" ht="28.8" x14ac:dyDescent="0.3">
      <c r="A13" s="93">
        <v>11</v>
      </c>
      <c r="B13" s="152" t="s">
        <v>296</v>
      </c>
      <c r="C13" s="152" t="s">
        <v>308</v>
      </c>
      <c r="D13" s="157">
        <v>45972</v>
      </c>
      <c r="E13" s="157">
        <v>45986</v>
      </c>
      <c r="F13" s="154" t="s">
        <v>256</v>
      </c>
      <c r="G13" s="155" t="s">
        <v>309</v>
      </c>
      <c r="H13" s="155" t="s">
        <v>310</v>
      </c>
      <c r="I13" s="165" t="s">
        <v>277</v>
      </c>
      <c r="J13" s="154" t="s">
        <v>311</v>
      </c>
      <c r="K13" s="165"/>
      <c r="L13" s="203" t="s">
        <v>312</v>
      </c>
      <c r="M13" s="83"/>
    </row>
    <row r="14" spans="1:13" s="6" customFormat="1" ht="28.8" x14ac:dyDescent="0.3">
      <c r="A14" s="93">
        <v>12</v>
      </c>
      <c r="B14" s="152" t="s">
        <v>252</v>
      </c>
      <c r="C14" s="152" t="s">
        <v>313</v>
      </c>
      <c r="D14" s="157"/>
      <c r="E14" s="157"/>
      <c r="F14" s="154" t="s">
        <v>256</v>
      </c>
      <c r="G14" s="155" t="s">
        <v>314</v>
      </c>
      <c r="H14" s="155" t="s">
        <v>315</v>
      </c>
      <c r="I14" s="165" t="s">
        <v>316</v>
      </c>
      <c r="J14" s="154" t="s">
        <v>317</v>
      </c>
      <c r="K14" s="165"/>
      <c r="L14" s="204" t="s">
        <v>318</v>
      </c>
      <c r="M14" s="83"/>
    </row>
    <row r="15" spans="1:13" s="6" customFormat="1" ht="14.4" x14ac:dyDescent="0.3">
      <c r="A15" s="93">
        <v>13</v>
      </c>
      <c r="B15" s="152" t="s">
        <v>319</v>
      </c>
      <c r="C15" s="152" t="s">
        <v>320</v>
      </c>
      <c r="D15" s="157">
        <v>45972</v>
      </c>
      <c r="E15" s="157">
        <v>45979</v>
      </c>
      <c r="F15" s="154" t="s">
        <v>256</v>
      </c>
      <c r="G15" s="155" t="s">
        <v>321</v>
      </c>
      <c r="H15" s="155" t="s">
        <v>322</v>
      </c>
      <c r="I15" s="165" t="s">
        <v>259</v>
      </c>
      <c r="J15" s="154"/>
      <c r="K15" s="153"/>
      <c r="L15" s="205" t="s">
        <v>323</v>
      </c>
      <c r="M15" s="83"/>
    </row>
    <row r="16" spans="1:13" s="6" customFormat="1" ht="28.8" x14ac:dyDescent="0.3">
      <c r="A16" s="93">
        <v>14</v>
      </c>
      <c r="B16" s="152" t="s">
        <v>252</v>
      </c>
      <c r="C16" s="152" t="s">
        <v>324</v>
      </c>
      <c r="D16" s="157">
        <v>45958</v>
      </c>
      <c r="E16" s="157">
        <v>45980</v>
      </c>
      <c r="F16" s="154" t="s">
        <v>256</v>
      </c>
      <c r="G16" s="155" t="s">
        <v>325</v>
      </c>
      <c r="H16" s="155" t="s">
        <v>326</v>
      </c>
      <c r="I16" s="165" t="s">
        <v>291</v>
      </c>
      <c r="J16" s="154"/>
      <c r="K16" s="153">
        <v>2</v>
      </c>
      <c r="L16" s="205"/>
      <c r="M16" s="83"/>
    </row>
    <row r="17" spans="1:13" s="6" customFormat="1" ht="44.25" customHeight="1" x14ac:dyDescent="0.3">
      <c r="A17" s="93">
        <v>15</v>
      </c>
      <c r="B17" s="152" t="s">
        <v>252</v>
      </c>
      <c r="C17" s="152" t="s">
        <v>327</v>
      </c>
      <c r="D17" s="157" t="s">
        <v>328</v>
      </c>
      <c r="E17" s="157">
        <v>45950</v>
      </c>
      <c r="F17" s="154" t="s">
        <v>256</v>
      </c>
      <c r="G17" s="155" t="s">
        <v>329</v>
      </c>
      <c r="H17" s="155" t="s">
        <v>330</v>
      </c>
      <c r="I17" s="165" t="s">
        <v>259</v>
      </c>
      <c r="J17" s="154"/>
      <c r="K17" s="153">
        <v>2</v>
      </c>
      <c r="L17" s="205"/>
      <c r="M17" s="83"/>
    </row>
    <row r="18" spans="1:13" s="6" customFormat="1" ht="44.25" customHeight="1" x14ac:dyDescent="0.3">
      <c r="A18" s="93">
        <v>16</v>
      </c>
      <c r="B18" s="152" t="s">
        <v>331</v>
      </c>
      <c r="C18" s="152" t="s">
        <v>332</v>
      </c>
      <c r="D18" s="157">
        <v>45980</v>
      </c>
      <c r="E18" s="157">
        <v>45980</v>
      </c>
      <c r="F18" s="154" t="s">
        <v>256</v>
      </c>
      <c r="G18" s="155" t="s">
        <v>333</v>
      </c>
      <c r="H18" s="155" t="s">
        <v>334</v>
      </c>
      <c r="I18" s="165" t="s">
        <v>259</v>
      </c>
      <c r="J18" s="154"/>
      <c r="K18" s="153"/>
      <c r="L18" s="205"/>
      <c r="M18" s="83"/>
    </row>
    <row r="19" spans="1:13" s="6" customFormat="1" ht="52.5" customHeight="1" x14ac:dyDescent="0.3">
      <c r="A19" s="93">
        <v>17</v>
      </c>
      <c r="B19" s="152" t="s">
        <v>269</v>
      </c>
      <c r="C19" s="152" t="s">
        <v>335</v>
      </c>
      <c r="D19" s="157" t="s">
        <v>328</v>
      </c>
      <c r="E19" s="157">
        <v>45952</v>
      </c>
      <c r="F19" s="154" t="s">
        <v>256</v>
      </c>
      <c r="G19" s="155" t="s">
        <v>336</v>
      </c>
      <c r="H19" s="155" t="s">
        <v>337</v>
      </c>
      <c r="I19" s="165" t="s">
        <v>338</v>
      </c>
      <c r="J19" s="154"/>
      <c r="K19" s="165">
        <v>2</v>
      </c>
      <c r="L19" s="203"/>
      <c r="M19" s="83"/>
    </row>
    <row r="20" spans="1:13" s="6" customFormat="1" ht="52.5" customHeight="1" x14ac:dyDescent="0.3">
      <c r="A20" s="93">
        <v>17</v>
      </c>
      <c r="B20" s="86" t="s">
        <v>339</v>
      </c>
      <c r="C20" s="86" t="s">
        <v>340</v>
      </c>
      <c r="D20" s="96">
        <v>46061</v>
      </c>
      <c r="E20" s="96">
        <v>46063</v>
      </c>
      <c r="F20" s="93" t="s">
        <v>256</v>
      </c>
      <c r="G20" s="78" t="s">
        <v>341</v>
      </c>
      <c r="H20" s="78" t="s">
        <v>342</v>
      </c>
      <c r="I20" s="166" t="s">
        <v>316</v>
      </c>
      <c r="J20" s="93"/>
      <c r="K20" s="166"/>
      <c r="L20" s="203"/>
      <c r="M20" s="83"/>
    </row>
    <row r="21" spans="1:13" s="6" customFormat="1" ht="26.25" customHeight="1" x14ac:dyDescent="0.3">
      <c r="A21" s="93">
        <v>19</v>
      </c>
      <c r="B21" s="86" t="s">
        <v>339</v>
      </c>
      <c r="C21" s="86" t="s">
        <v>343</v>
      </c>
      <c r="D21" s="96">
        <v>46034</v>
      </c>
      <c r="E21" s="96">
        <v>46038</v>
      </c>
      <c r="F21" s="93"/>
      <c r="G21" s="78" t="s">
        <v>344</v>
      </c>
      <c r="H21" s="78" t="s">
        <v>345</v>
      </c>
      <c r="I21" s="166" t="s">
        <v>268</v>
      </c>
      <c r="J21" s="93" t="s">
        <v>264</v>
      </c>
      <c r="K21" s="166"/>
      <c r="L21" s="203"/>
      <c r="M21" s="83"/>
    </row>
    <row r="22" spans="1:13" s="6" customFormat="1" ht="26.25" customHeight="1" x14ac:dyDescent="0.3">
      <c r="A22" s="93">
        <v>20</v>
      </c>
      <c r="B22" s="86" t="s">
        <v>339</v>
      </c>
      <c r="C22" s="86" t="s">
        <v>346</v>
      </c>
      <c r="D22" s="96" t="s">
        <v>347</v>
      </c>
      <c r="E22" s="96"/>
      <c r="F22" s="93" t="s">
        <v>303</v>
      </c>
      <c r="G22" s="78" t="s">
        <v>348</v>
      </c>
      <c r="H22" s="78" t="s">
        <v>349</v>
      </c>
      <c r="I22" s="167" t="s">
        <v>350</v>
      </c>
      <c r="J22" s="93"/>
      <c r="K22" s="167"/>
      <c r="L22" s="206"/>
      <c r="M22" s="83"/>
    </row>
    <row r="23" spans="1:13" s="6" customFormat="1" ht="26.25" customHeight="1" x14ac:dyDescent="0.3">
      <c r="A23" s="93">
        <v>21</v>
      </c>
      <c r="B23" s="86" t="s">
        <v>339</v>
      </c>
      <c r="C23" s="86" t="s">
        <v>351</v>
      </c>
      <c r="D23" s="96">
        <v>46062</v>
      </c>
      <c r="E23" s="96">
        <v>46066</v>
      </c>
      <c r="F23" s="93" t="s">
        <v>352</v>
      </c>
      <c r="G23" s="78" t="s">
        <v>353</v>
      </c>
      <c r="H23" s="78" t="s">
        <v>354</v>
      </c>
      <c r="I23" s="167" t="s">
        <v>355</v>
      </c>
      <c r="J23" s="93"/>
      <c r="K23" s="167"/>
      <c r="L23" s="206"/>
      <c r="M23" s="83"/>
    </row>
    <row r="24" spans="1:13" s="6" customFormat="1" ht="30" customHeight="1" x14ac:dyDescent="0.3">
      <c r="A24" s="93">
        <v>22</v>
      </c>
      <c r="B24" s="86" t="s">
        <v>339</v>
      </c>
      <c r="C24" s="86" t="s">
        <v>356</v>
      </c>
      <c r="D24" s="96">
        <v>46062</v>
      </c>
      <c r="E24" s="96">
        <v>46079</v>
      </c>
      <c r="F24" s="93" t="s">
        <v>357</v>
      </c>
      <c r="G24" s="86" t="s">
        <v>356</v>
      </c>
      <c r="H24" s="78" t="s">
        <v>358</v>
      </c>
      <c r="I24" s="166" t="s">
        <v>268</v>
      </c>
      <c r="J24" s="93"/>
      <c r="K24" s="166">
        <v>9</v>
      </c>
      <c r="L24" s="230" t="s">
        <v>359</v>
      </c>
      <c r="M24" s="83"/>
    </row>
    <row r="25" spans="1:13" s="6" customFormat="1" ht="30" customHeight="1" x14ac:dyDescent="0.3">
      <c r="A25" s="93">
        <v>23</v>
      </c>
      <c r="B25" s="86" t="s">
        <v>339</v>
      </c>
      <c r="C25" s="86" t="s">
        <v>360</v>
      </c>
      <c r="D25" s="96">
        <v>46059</v>
      </c>
      <c r="E25" s="96">
        <v>46066</v>
      </c>
      <c r="F25" s="93" t="s">
        <v>357</v>
      </c>
      <c r="G25" s="86" t="s">
        <v>361</v>
      </c>
      <c r="H25" s="78" t="s">
        <v>362</v>
      </c>
      <c r="I25" s="166" t="s">
        <v>264</v>
      </c>
      <c r="J25" s="93"/>
      <c r="K25" s="166"/>
      <c r="L25" s="203"/>
      <c r="M25" s="83"/>
    </row>
    <row r="26" spans="1:13" s="6" customFormat="1" ht="15" customHeight="1" x14ac:dyDescent="0.3">
      <c r="A26" s="93">
        <v>24</v>
      </c>
      <c r="B26" s="86" t="s">
        <v>339</v>
      </c>
      <c r="C26" s="86" t="s">
        <v>363</v>
      </c>
      <c r="D26" s="96">
        <v>46059</v>
      </c>
      <c r="E26" s="96">
        <v>45699</v>
      </c>
      <c r="F26" s="93" t="s">
        <v>357</v>
      </c>
      <c r="G26" s="78" t="s">
        <v>364</v>
      </c>
      <c r="H26" s="78" t="s">
        <v>365</v>
      </c>
      <c r="I26" s="166" t="s">
        <v>259</v>
      </c>
      <c r="J26" s="93"/>
      <c r="K26" s="166"/>
      <c r="L26" s="203"/>
      <c r="M26" s="83"/>
    </row>
    <row r="27" spans="1:13" s="6" customFormat="1" ht="27.6" customHeight="1" x14ac:dyDescent="0.3">
      <c r="A27" s="93">
        <v>25</v>
      </c>
      <c r="B27" s="86" t="s">
        <v>339</v>
      </c>
      <c r="C27" s="86" t="s">
        <v>366</v>
      </c>
      <c r="D27" s="96"/>
      <c r="E27" s="96"/>
      <c r="F27" s="93" t="s">
        <v>303</v>
      </c>
      <c r="G27" s="78" t="s">
        <v>367</v>
      </c>
      <c r="H27" s="78" t="s">
        <v>368</v>
      </c>
      <c r="I27" s="166" t="s">
        <v>268</v>
      </c>
      <c r="J27" s="166"/>
      <c r="K27" s="166"/>
      <c r="L27" s="203"/>
      <c r="M27" s="83"/>
    </row>
    <row r="28" spans="1:13" s="6" customFormat="1" ht="33.6" customHeight="1" x14ac:dyDescent="0.3">
      <c r="A28" s="93">
        <v>26</v>
      </c>
      <c r="B28" s="86" t="s">
        <v>339</v>
      </c>
      <c r="C28" s="86" t="s">
        <v>369</v>
      </c>
      <c r="D28" s="96">
        <v>46059</v>
      </c>
      <c r="E28" s="96">
        <v>46066</v>
      </c>
      <c r="F28" s="93" t="s">
        <v>357</v>
      </c>
      <c r="G28" s="78" t="s">
        <v>367</v>
      </c>
      <c r="H28" s="78" t="s">
        <v>368</v>
      </c>
      <c r="I28" s="166" t="s">
        <v>264</v>
      </c>
      <c r="J28" s="166"/>
      <c r="K28" s="166"/>
      <c r="L28" s="203"/>
      <c r="M28" s="83"/>
    </row>
    <row r="29" spans="1:13" s="6" customFormat="1" ht="27.6" customHeight="1" x14ac:dyDescent="0.3">
      <c r="A29" s="93">
        <v>27</v>
      </c>
      <c r="B29" s="86" t="s">
        <v>339</v>
      </c>
      <c r="C29" s="86" t="s">
        <v>370</v>
      </c>
      <c r="D29" s="96">
        <v>46059</v>
      </c>
      <c r="E29" s="96">
        <v>46066</v>
      </c>
      <c r="F29" s="93" t="s">
        <v>357</v>
      </c>
      <c r="G29" s="78" t="s">
        <v>371</v>
      </c>
      <c r="H29" s="78"/>
      <c r="I29" s="166" t="s">
        <v>264</v>
      </c>
      <c r="J29" s="166"/>
      <c r="K29" s="166"/>
      <c r="L29" s="203"/>
      <c r="M29" s="83"/>
    </row>
    <row r="30" spans="1:13" s="6" customFormat="1" ht="15" customHeight="1" x14ac:dyDescent="0.3">
      <c r="A30" s="93">
        <v>28</v>
      </c>
      <c r="B30" s="86" t="s">
        <v>339</v>
      </c>
      <c r="C30" s="86" t="s">
        <v>372</v>
      </c>
      <c r="D30" s="96"/>
      <c r="E30" s="96"/>
      <c r="F30" s="93" t="s">
        <v>303</v>
      </c>
      <c r="G30" s="78"/>
      <c r="H30" s="78"/>
      <c r="I30" s="166" t="s">
        <v>268</v>
      </c>
      <c r="J30" s="166"/>
      <c r="K30" s="166"/>
      <c r="L30" s="203"/>
      <c r="M30" s="83"/>
    </row>
    <row r="31" spans="1:13" s="6" customFormat="1" ht="15" customHeight="1" x14ac:dyDescent="0.3">
      <c r="A31" s="93">
        <v>29</v>
      </c>
      <c r="B31" s="86" t="s">
        <v>339</v>
      </c>
      <c r="C31" s="86" t="s">
        <v>373</v>
      </c>
      <c r="D31" s="96">
        <v>46063</v>
      </c>
      <c r="E31" s="96">
        <v>46065</v>
      </c>
      <c r="F31" s="93" t="s">
        <v>256</v>
      </c>
      <c r="G31" s="78"/>
      <c r="H31" s="78"/>
      <c r="I31" s="166" t="s">
        <v>316</v>
      </c>
      <c r="J31" s="166"/>
      <c r="K31" s="166"/>
      <c r="L31" s="203"/>
      <c r="M31" s="83"/>
    </row>
    <row r="32" spans="1:13" s="6" customFormat="1" ht="15" customHeight="1" x14ac:dyDescent="0.3">
      <c r="A32" s="93">
        <v>30</v>
      </c>
      <c r="B32" s="86" t="s">
        <v>339</v>
      </c>
      <c r="C32" s="86" t="s">
        <v>374</v>
      </c>
      <c r="D32" s="96">
        <v>46062</v>
      </c>
      <c r="E32" s="96">
        <v>46067</v>
      </c>
      <c r="F32" s="93" t="s">
        <v>303</v>
      </c>
      <c r="G32" s="78" t="s">
        <v>375</v>
      </c>
      <c r="H32" s="78" t="s">
        <v>376</v>
      </c>
      <c r="I32" s="166" t="s">
        <v>259</v>
      </c>
      <c r="J32" s="166"/>
      <c r="K32" s="166"/>
      <c r="L32" s="203"/>
      <c r="M32" s="83"/>
    </row>
    <row r="33" spans="1:13" s="6" customFormat="1" ht="15" customHeight="1" x14ac:dyDescent="0.3">
      <c r="A33" s="93">
        <v>31</v>
      </c>
      <c r="B33" s="86" t="s">
        <v>339</v>
      </c>
      <c r="C33" s="86" t="s">
        <v>377</v>
      </c>
      <c r="D33" s="96">
        <v>46061</v>
      </c>
      <c r="E33" s="96">
        <v>46066</v>
      </c>
      <c r="F33" s="93" t="s">
        <v>357</v>
      </c>
      <c r="G33" s="78" t="s">
        <v>378</v>
      </c>
      <c r="H33" s="78"/>
      <c r="I33" s="166" t="s">
        <v>350</v>
      </c>
      <c r="J33" s="166"/>
      <c r="K33" s="166"/>
      <c r="L33" s="203" t="s">
        <v>379</v>
      </c>
      <c r="M33" s="83"/>
    </row>
    <row r="34" spans="1:13" s="6" customFormat="1" ht="28.8" x14ac:dyDescent="0.3">
      <c r="A34" s="93">
        <v>32</v>
      </c>
      <c r="B34" s="86" t="s">
        <v>380</v>
      </c>
      <c r="C34" s="86" t="s">
        <v>381</v>
      </c>
      <c r="D34" s="96">
        <v>46062</v>
      </c>
      <c r="E34" s="96">
        <v>46063</v>
      </c>
      <c r="F34" s="93" t="s">
        <v>357</v>
      </c>
      <c r="G34" s="6" t="s">
        <v>382</v>
      </c>
      <c r="H34" s="78" t="s">
        <v>383</v>
      </c>
      <c r="I34" s="166" t="s">
        <v>355</v>
      </c>
      <c r="J34" s="166"/>
      <c r="K34" s="166"/>
      <c r="L34" s="203" t="s">
        <v>384</v>
      </c>
      <c r="M34" s="83"/>
    </row>
    <row r="35" spans="1:13" s="6" customFormat="1" ht="43.2" x14ac:dyDescent="0.3">
      <c r="A35" s="93">
        <v>33</v>
      </c>
      <c r="B35" s="86" t="s">
        <v>385</v>
      </c>
      <c r="C35" s="86" t="s">
        <v>386</v>
      </c>
      <c r="D35" s="96">
        <v>46062</v>
      </c>
      <c r="E35" s="96">
        <v>46066</v>
      </c>
      <c r="F35" s="93" t="s">
        <v>303</v>
      </c>
      <c r="G35" s="78" t="s">
        <v>387</v>
      </c>
      <c r="H35" s="78" t="s">
        <v>387</v>
      </c>
      <c r="I35" s="166" t="s">
        <v>264</v>
      </c>
      <c r="J35" s="95"/>
      <c r="K35" s="95"/>
      <c r="L35" s="207" t="s">
        <v>388</v>
      </c>
      <c r="M35" s="83"/>
    </row>
    <row r="36" spans="1:13" s="6" customFormat="1" ht="15" customHeight="1" x14ac:dyDescent="0.3">
      <c r="A36" s="93"/>
      <c r="B36" s="86" t="s">
        <v>339</v>
      </c>
      <c r="C36" s="86" t="s">
        <v>389</v>
      </c>
      <c r="D36" s="96">
        <v>46065</v>
      </c>
      <c r="E36" s="96">
        <v>46073</v>
      </c>
      <c r="F36" s="93" t="s">
        <v>352</v>
      </c>
      <c r="G36" s="78" t="s">
        <v>390</v>
      </c>
      <c r="H36" s="78" t="s">
        <v>391</v>
      </c>
      <c r="I36" s="166" t="s">
        <v>392</v>
      </c>
      <c r="J36" s="166" t="s">
        <v>316</v>
      </c>
      <c r="K36" s="166"/>
      <c r="L36" s="203"/>
      <c r="M36" s="83"/>
    </row>
    <row r="37" spans="1:13" s="6" customFormat="1" ht="15" customHeight="1" x14ac:dyDescent="0.3">
      <c r="A37" s="93"/>
      <c r="B37" s="86" t="s">
        <v>339</v>
      </c>
      <c r="C37" s="86" t="s">
        <v>393</v>
      </c>
      <c r="D37" s="96">
        <v>46064</v>
      </c>
      <c r="E37" s="96">
        <v>46066</v>
      </c>
      <c r="F37" s="93" t="s">
        <v>357</v>
      </c>
      <c r="G37" s="78" t="s">
        <v>394</v>
      </c>
      <c r="H37" s="78" t="s">
        <v>391</v>
      </c>
      <c r="I37" s="166" t="s">
        <v>316</v>
      </c>
      <c r="J37" s="166"/>
      <c r="K37" s="166"/>
      <c r="L37" s="203"/>
      <c r="M37" s="83"/>
    </row>
    <row r="38" spans="1:13" s="6" customFormat="1" ht="15" customHeight="1" x14ac:dyDescent="0.3">
      <c r="A38" s="93"/>
      <c r="B38" s="86"/>
      <c r="C38" s="86"/>
      <c r="D38" s="96"/>
      <c r="E38" s="96"/>
      <c r="F38" s="93"/>
      <c r="G38" s="78"/>
      <c r="H38" s="78"/>
      <c r="I38" s="166"/>
      <c r="J38" s="166"/>
      <c r="K38" s="167"/>
      <c r="L38" s="206"/>
      <c r="M38" s="83"/>
    </row>
    <row r="39" spans="1:13" s="6" customFormat="1" ht="15" customHeight="1" x14ac:dyDescent="0.3">
      <c r="A39" s="93"/>
      <c r="B39" s="86"/>
      <c r="C39" s="86"/>
      <c r="D39" s="96"/>
      <c r="E39" s="96"/>
      <c r="F39" s="93"/>
      <c r="G39" s="78"/>
      <c r="H39" s="78"/>
      <c r="I39" s="166"/>
      <c r="J39" s="166"/>
      <c r="K39" s="167"/>
      <c r="L39" s="206"/>
      <c r="M39" s="83"/>
    </row>
    <row r="40" spans="1:13" s="6" customFormat="1" ht="15" customHeight="1" x14ac:dyDescent="0.3">
      <c r="A40" s="93"/>
      <c r="B40" s="86"/>
      <c r="C40" s="86"/>
      <c r="D40" s="96"/>
      <c r="E40" s="96"/>
      <c r="F40" s="93"/>
      <c r="G40" s="78"/>
      <c r="H40" s="78"/>
      <c r="I40" s="166"/>
      <c r="J40" s="166"/>
      <c r="K40" s="167"/>
      <c r="L40" s="206"/>
      <c r="M40" s="83"/>
    </row>
    <row r="41" spans="1:13" s="6" customFormat="1" ht="15" customHeight="1" x14ac:dyDescent="0.3">
      <c r="A41" s="93"/>
      <c r="B41" s="86"/>
      <c r="C41" s="86"/>
      <c r="D41" s="96"/>
      <c r="E41" s="96"/>
      <c r="F41" s="93"/>
      <c r="G41" s="78"/>
      <c r="H41" s="78"/>
      <c r="I41" s="166"/>
      <c r="J41" s="166"/>
      <c r="K41" s="167"/>
      <c r="L41" s="206"/>
      <c r="M41" s="83"/>
    </row>
    <row r="42" spans="1:13" s="6" customFormat="1" ht="15" customHeight="1" x14ac:dyDescent="0.3">
      <c r="A42" s="93"/>
      <c r="B42" s="86"/>
      <c r="C42" s="86"/>
      <c r="D42" s="144"/>
      <c r="E42" s="144"/>
      <c r="F42" s="93"/>
      <c r="G42" s="78"/>
      <c r="H42" s="78"/>
      <c r="I42" s="178"/>
      <c r="J42" s="178"/>
      <c r="K42" s="178"/>
      <c r="L42" s="208"/>
      <c r="M42" s="83"/>
    </row>
    <row r="43" spans="1:13" s="6" customFormat="1" ht="15" customHeight="1" x14ac:dyDescent="0.3">
      <c r="A43" s="93"/>
      <c r="B43" s="86"/>
      <c r="C43" s="86"/>
      <c r="D43" s="168"/>
      <c r="E43" s="168"/>
      <c r="F43" s="93"/>
      <c r="G43" s="78"/>
      <c r="H43" s="78"/>
      <c r="I43" s="166"/>
      <c r="J43" s="166"/>
      <c r="K43" s="178"/>
      <c r="L43" s="209"/>
      <c r="M43" s="83"/>
    </row>
    <row r="44" spans="1:13" s="6" customFormat="1" ht="15" customHeight="1" x14ac:dyDescent="0.3">
      <c r="A44" s="93"/>
      <c r="B44" s="86"/>
      <c r="C44" s="86"/>
      <c r="D44" s="96"/>
      <c r="E44" s="96"/>
      <c r="F44" s="93"/>
      <c r="G44" s="78"/>
      <c r="H44" s="78"/>
      <c r="I44" s="166"/>
      <c r="J44" s="166"/>
      <c r="K44" s="166"/>
      <c r="L44" s="203"/>
      <c r="M44" s="83"/>
    </row>
    <row r="45" spans="1:13" s="6" customFormat="1" ht="15" customHeight="1" x14ac:dyDescent="0.3">
      <c r="A45" s="93"/>
      <c r="B45" s="86"/>
      <c r="C45" s="86"/>
      <c r="D45" s="96"/>
      <c r="E45" s="96"/>
      <c r="F45" s="93"/>
      <c r="G45" s="78"/>
      <c r="H45" s="78"/>
      <c r="I45" s="166"/>
      <c r="J45" s="166"/>
      <c r="K45" s="166"/>
      <c r="L45" s="203"/>
      <c r="M45" s="83"/>
    </row>
    <row r="46" spans="1:13" s="6" customFormat="1" ht="15" customHeight="1" x14ac:dyDescent="0.3">
      <c r="A46" s="93"/>
      <c r="B46" s="86"/>
      <c r="C46" s="86"/>
      <c r="D46" s="96"/>
      <c r="E46" s="96"/>
      <c r="F46" s="93"/>
      <c r="G46" s="78"/>
      <c r="H46" s="78"/>
      <c r="I46" s="166"/>
      <c r="J46" s="166"/>
      <c r="K46" s="166"/>
      <c r="L46" s="209"/>
      <c r="M46" s="83"/>
    </row>
    <row r="47" spans="1:13" s="6" customFormat="1" ht="15" customHeight="1" x14ac:dyDescent="0.3">
      <c r="A47" s="93"/>
      <c r="B47" s="86"/>
      <c r="C47" s="86"/>
      <c r="D47" s="96"/>
      <c r="E47" s="96"/>
      <c r="F47" s="93"/>
      <c r="G47" s="78"/>
      <c r="H47" s="78"/>
      <c r="I47" s="166"/>
      <c r="J47" s="166"/>
      <c r="K47" s="166"/>
      <c r="L47" s="209"/>
      <c r="M47" s="83"/>
    </row>
    <row r="48" spans="1:13" s="6" customFormat="1" ht="15" customHeight="1" x14ac:dyDescent="0.3">
      <c r="A48" s="93"/>
      <c r="B48" s="86"/>
      <c r="C48" s="86"/>
      <c r="D48" s="96"/>
      <c r="E48" s="96"/>
      <c r="F48" s="93"/>
      <c r="G48" s="78"/>
      <c r="H48" s="78"/>
      <c r="I48" s="166"/>
      <c r="J48" s="166"/>
      <c r="K48" s="166"/>
      <c r="L48" s="203"/>
      <c r="M48" s="83"/>
    </row>
    <row r="49" spans="1:13" s="6" customFormat="1" ht="15" customHeight="1" x14ac:dyDescent="0.3">
      <c r="A49" s="93"/>
      <c r="B49" s="86"/>
      <c r="C49" s="86"/>
      <c r="D49" s="96"/>
      <c r="E49" s="96"/>
      <c r="F49" s="93"/>
      <c r="G49" s="78"/>
      <c r="H49" s="78"/>
      <c r="I49" s="84"/>
      <c r="J49" s="84"/>
      <c r="K49" s="84"/>
      <c r="L49" s="210"/>
      <c r="M49" s="83"/>
    </row>
    <row r="50" spans="1:13" s="6" customFormat="1" ht="15" customHeight="1" x14ac:dyDescent="0.3">
      <c r="A50" s="93"/>
      <c r="B50" s="86"/>
      <c r="C50" s="86"/>
      <c r="D50" s="96"/>
      <c r="E50" s="96"/>
      <c r="F50" s="93"/>
      <c r="G50" s="78"/>
      <c r="H50" s="78"/>
      <c r="I50" s="84"/>
      <c r="J50" s="84"/>
      <c r="K50" s="84"/>
      <c r="L50" s="211"/>
      <c r="M50" s="83"/>
    </row>
    <row r="51" spans="1:13" s="6" customFormat="1" ht="15" customHeight="1" x14ac:dyDescent="0.3">
      <c r="A51" s="93"/>
      <c r="B51" s="86"/>
      <c r="C51" s="86"/>
      <c r="D51" s="96"/>
      <c r="E51" s="96"/>
      <c r="F51" s="93"/>
      <c r="G51" s="78"/>
      <c r="H51" s="78"/>
      <c r="I51" s="84"/>
      <c r="J51" s="84"/>
      <c r="K51" s="84"/>
      <c r="L51" s="211"/>
      <c r="M51" s="83"/>
    </row>
    <row r="52" spans="1:13" s="6" customFormat="1" ht="15" customHeight="1" x14ac:dyDescent="0.3">
      <c r="A52" s="93"/>
      <c r="B52" s="86"/>
      <c r="C52" s="86"/>
      <c r="D52" s="96"/>
      <c r="E52" s="96"/>
      <c r="F52" s="93"/>
      <c r="G52" s="78"/>
      <c r="H52" s="78"/>
      <c r="I52" s="84"/>
      <c r="J52" s="84"/>
      <c r="K52" s="84"/>
      <c r="L52" s="211"/>
      <c r="M52" s="83"/>
    </row>
    <row r="53" spans="1:13" s="6" customFormat="1" ht="15" customHeight="1" x14ac:dyDescent="0.3">
      <c r="A53" s="93"/>
      <c r="B53" s="86"/>
      <c r="C53" s="86"/>
      <c r="D53" s="96"/>
      <c r="E53" s="96"/>
      <c r="F53" s="93"/>
      <c r="G53" s="78"/>
      <c r="H53" s="78"/>
      <c r="I53" s="179"/>
      <c r="J53" s="179"/>
      <c r="K53" s="179"/>
      <c r="L53" s="211"/>
      <c r="M53" s="83"/>
    </row>
    <row r="54" spans="1:13" s="6" customFormat="1" ht="15" customHeight="1" x14ac:dyDescent="0.3">
      <c r="A54" s="93"/>
      <c r="B54" s="86"/>
      <c r="C54" s="86"/>
      <c r="D54" s="145"/>
      <c r="E54" s="100"/>
      <c r="F54" s="93"/>
      <c r="G54" s="78"/>
      <c r="H54" s="78"/>
      <c r="I54" s="180"/>
      <c r="J54" s="180"/>
      <c r="K54" s="180"/>
      <c r="L54" s="212"/>
      <c r="M54" s="83"/>
    </row>
    <row r="55" spans="1:13" s="91" customFormat="1" ht="15" customHeight="1" x14ac:dyDescent="0.3">
      <c r="A55" s="93"/>
      <c r="B55" s="86"/>
      <c r="C55" s="86"/>
      <c r="D55" s="166"/>
      <c r="E55" s="168"/>
      <c r="F55" s="93"/>
      <c r="G55" s="78"/>
      <c r="H55" s="78"/>
      <c r="I55" s="166"/>
      <c r="J55" s="84"/>
      <c r="K55" s="84"/>
      <c r="L55" s="213"/>
      <c r="M55" s="200"/>
    </row>
    <row r="56" spans="1:13" s="6" customFormat="1" ht="15" customHeight="1" x14ac:dyDescent="0.3">
      <c r="A56" s="93"/>
      <c r="B56" s="86"/>
      <c r="C56" s="86"/>
      <c r="D56" s="181"/>
      <c r="E56" s="182"/>
      <c r="F56" s="93"/>
      <c r="G56" s="78"/>
      <c r="H56" s="78"/>
      <c r="I56" s="183"/>
      <c r="J56" s="183"/>
      <c r="K56" s="183"/>
      <c r="L56" s="214"/>
      <c r="M56" s="83"/>
    </row>
    <row r="57" spans="1:13" s="6" customFormat="1" ht="15" customHeight="1" x14ac:dyDescent="0.3">
      <c r="A57" s="93"/>
      <c r="B57" s="86"/>
      <c r="C57" s="86"/>
      <c r="D57" s="96"/>
      <c r="E57" s="96"/>
      <c r="F57" s="93"/>
      <c r="G57" s="78"/>
      <c r="H57" s="78"/>
      <c r="I57" s="166"/>
      <c r="J57" s="166"/>
      <c r="K57" s="166"/>
      <c r="L57" s="211"/>
      <c r="M57" s="83"/>
    </row>
    <row r="58" spans="1:13" s="6" customFormat="1" ht="15" customHeight="1" x14ac:dyDescent="0.3">
      <c r="A58" s="93"/>
      <c r="B58" s="86"/>
      <c r="C58" s="86"/>
      <c r="D58" s="96"/>
      <c r="E58" s="96"/>
      <c r="F58" s="93"/>
      <c r="G58" s="78"/>
      <c r="H58" s="78"/>
      <c r="I58" s="166"/>
      <c r="J58" s="166"/>
      <c r="K58" s="166"/>
      <c r="L58" s="211"/>
      <c r="M58" s="83"/>
    </row>
    <row r="59" spans="1:13" s="6" customFormat="1" ht="15" customHeight="1" x14ac:dyDescent="0.3">
      <c r="A59" s="93"/>
      <c r="B59" s="86"/>
      <c r="C59" s="86"/>
      <c r="D59" s="168"/>
      <c r="E59" s="168"/>
      <c r="F59" s="93"/>
      <c r="G59" s="78"/>
      <c r="H59" s="78"/>
      <c r="I59" s="84"/>
      <c r="J59" s="84"/>
      <c r="K59" s="84"/>
      <c r="L59" s="215"/>
      <c r="M59" s="83"/>
    </row>
    <row r="60" spans="1:13" s="6" customFormat="1" ht="15" customHeight="1" x14ac:dyDescent="0.3">
      <c r="A60" s="93"/>
      <c r="B60" s="86"/>
      <c r="C60" s="86"/>
      <c r="D60" s="168"/>
      <c r="E60" s="168"/>
      <c r="F60" s="93"/>
      <c r="G60" s="78"/>
      <c r="H60" s="78"/>
      <c r="I60" s="84"/>
      <c r="J60" s="84"/>
      <c r="K60" s="84"/>
      <c r="L60" s="215"/>
      <c r="M60" s="83"/>
    </row>
    <row r="61" spans="1:13" s="6" customFormat="1" ht="15" customHeight="1" x14ac:dyDescent="0.3">
      <c r="A61" s="93"/>
      <c r="B61" s="86"/>
      <c r="C61" s="86"/>
      <c r="D61" s="168"/>
      <c r="E61" s="168"/>
      <c r="F61" s="93"/>
      <c r="G61" s="78"/>
      <c r="H61" s="78"/>
      <c r="I61" s="84"/>
      <c r="J61" s="15"/>
      <c r="K61" s="15"/>
      <c r="L61" s="216"/>
      <c r="M61" s="83"/>
    </row>
    <row r="62" spans="1:13" s="6" customFormat="1" ht="15" customHeight="1" x14ac:dyDescent="0.3">
      <c r="A62" s="93"/>
      <c r="B62" s="86"/>
      <c r="C62" s="86"/>
      <c r="D62" s="168"/>
      <c r="E62" s="168"/>
      <c r="F62" s="93"/>
      <c r="G62" s="78"/>
      <c r="H62" s="78"/>
      <c r="I62" s="84"/>
      <c r="J62" s="84"/>
      <c r="K62" s="84"/>
      <c r="L62" s="215"/>
      <c r="M62" s="83"/>
    </row>
    <row r="63" spans="1:13" s="6" customFormat="1" ht="15" customHeight="1" x14ac:dyDescent="0.3">
      <c r="A63" s="93"/>
      <c r="B63" s="86"/>
      <c r="C63" s="86"/>
      <c r="D63" s="168"/>
      <c r="E63" s="168"/>
      <c r="F63" s="93"/>
      <c r="G63" s="78"/>
      <c r="H63" s="78"/>
      <c r="I63" s="84"/>
      <c r="J63" s="15"/>
      <c r="K63" s="84"/>
      <c r="L63" s="215"/>
      <c r="M63" s="83"/>
    </row>
    <row r="64" spans="1:13" s="6" customFormat="1" ht="15" customHeight="1" x14ac:dyDescent="0.3">
      <c r="A64" s="93"/>
      <c r="B64" s="86"/>
      <c r="C64" s="86"/>
      <c r="D64" s="168"/>
      <c r="E64" s="168"/>
      <c r="F64" s="93"/>
      <c r="G64" s="78"/>
      <c r="H64" s="78"/>
      <c r="I64" s="84"/>
      <c r="J64" s="84"/>
      <c r="K64" s="84"/>
      <c r="L64" s="215"/>
      <c r="M64" s="83"/>
    </row>
    <row r="65" spans="1:13" s="6" customFormat="1" ht="15" customHeight="1" x14ac:dyDescent="0.3">
      <c r="A65" s="93"/>
      <c r="B65" s="86"/>
      <c r="C65" s="86"/>
      <c r="D65" s="168"/>
      <c r="E65" s="168"/>
      <c r="F65" s="93"/>
      <c r="G65" s="78"/>
      <c r="H65" s="78"/>
      <c r="I65" s="84"/>
      <c r="J65" s="84"/>
      <c r="K65" s="84"/>
      <c r="L65" s="215"/>
      <c r="M65" s="83"/>
    </row>
    <row r="66" spans="1:13" s="6" customFormat="1" ht="15" customHeight="1" x14ac:dyDescent="0.3">
      <c r="A66" s="93"/>
      <c r="B66" s="86"/>
      <c r="C66" s="86"/>
      <c r="D66" s="168"/>
      <c r="E66" s="168"/>
      <c r="F66" s="93"/>
      <c r="G66" s="78"/>
      <c r="H66" s="78"/>
      <c r="I66" s="84"/>
      <c r="J66" s="84"/>
      <c r="K66" s="84"/>
      <c r="L66" s="215"/>
      <c r="M66" s="83"/>
    </row>
    <row r="67" spans="1:13" s="6" customFormat="1" ht="15" customHeight="1" x14ac:dyDescent="0.3">
      <c r="A67" s="93"/>
      <c r="B67" s="86"/>
      <c r="C67" s="86"/>
      <c r="D67" s="168"/>
      <c r="E67" s="168"/>
      <c r="F67" s="93"/>
      <c r="G67" s="78"/>
      <c r="H67" s="78"/>
      <c r="I67" s="84"/>
      <c r="J67" s="84"/>
      <c r="K67" s="84"/>
      <c r="L67" s="215"/>
      <c r="M67" s="83"/>
    </row>
    <row r="68" spans="1:13" s="6" customFormat="1" ht="15" customHeight="1" x14ac:dyDescent="0.3">
      <c r="A68" s="93"/>
      <c r="B68" s="86"/>
      <c r="C68" s="86"/>
      <c r="D68" s="168"/>
      <c r="E68" s="168"/>
      <c r="F68" s="93"/>
      <c r="G68" s="78"/>
      <c r="H68" s="78"/>
      <c r="I68" s="84"/>
      <c r="J68" s="84"/>
      <c r="K68" s="84"/>
      <c r="L68" s="215"/>
      <c r="M68" s="83"/>
    </row>
    <row r="69" spans="1:13" s="6" customFormat="1" ht="15" customHeight="1" x14ac:dyDescent="0.3">
      <c r="A69" s="93"/>
      <c r="B69" s="86"/>
      <c r="C69" s="86"/>
      <c r="D69" s="168"/>
      <c r="E69" s="168"/>
      <c r="F69" s="93"/>
      <c r="G69" s="78"/>
      <c r="H69" s="78"/>
      <c r="I69" s="84"/>
      <c r="J69" s="84"/>
      <c r="K69" s="84"/>
      <c r="L69" s="215"/>
      <c r="M69" s="83"/>
    </row>
    <row r="70" spans="1:13" s="6" customFormat="1" ht="15" customHeight="1" x14ac:dyDescent="0.3">
      <c r="A70" s="93"/>
      <c r="B70" s="86"/>
      <c r="C70" s="86"/>
      <c r="D70" s="168"/>
      <c r="E70" s="168"/>
      <c r="F70" s="93"/>
      <c r="G70" s="78"/>
      <c r="H70" s="78"/>
      <c r="I70" s="84"/>
      <c r="J70" s="84"/>
      <c r="K70" s="84"/>
      <c r="L70" s="215"/>
      <c r="M70" s="83"/>
    </row>
    <row r="71" spans="1:13" s="6" customFormat="1" ht="15" customHeight="1" x14ac:dyDescent="0.3">
      <c r="A71" s="93"/>
      <c r="B71" s="86"/>
      <c r="C71" s="86"/>
      <c r="D71" s="168"/>
      <c r="E71" s="168"/>
      <c r="F71" s="93"/>
      <c r="G71" s="78"/>
      <c r="H71" s="78"/>
      <c r="I71" s="84"/>
      <c r="J71" s="84"/>
      <c r="K71" s="84"/>
      <c r="L71" s="215"/>
      <c r="M71" s="83"/>
    </row>
    <row r="72" spans="1:13" s="6" customFormat="1" ht="15" customHeight="1" x14ac:dyDescent="0.3">
      <c r="A72" s="93"/>
      <c r="B72" s="86"/>
      <c r="C72" s="86"/>
      <c r="D72" s="168"/>
      <c r="E72" s="168"/>
      <c r="F72" s="93"/>
      <c r="G72" s="78"/>
      <c r="H72" s="78"/>
      <c r="I72" s="84"/>
      <c r="J72" s="84"/>
      <c r="K72" s="84"/>
      <c r="L72" s="215"/>
      <c r="M72" s="83"/>
    </row>
    <row r="73" spans="1:13" s="6" customFormat="1" ht="15" customHeight="1" x14ac:dyDescent="0.3">
      <c r="A73" s="93"/>
      <c r="B73" s="86"/>
      <c r="C73" s="86"/>
      <c r="D73" s="96"/>
      <c r="E73" s="96"/>
      <c r="F73" s="93"/>
      <c r="G73" s="78"/>
      <c r="H73" s="78"/>
      <c r="I73" s="84"/>
      <c r="J73" s="84"/>
      <c r="K73" s="84"/>
      <c r="L73" s="215"/>
      <c r="M73" s="83"/>
    </row>
    <row r="74" spans="1:13" s="6" customFormat="1" ht="15" customHeight="1" x14ac:dyDescent="0.3">
      <c r="A74" s="93"/>
      <c r="B74" s="86"/>
      <c r="C74" s="86"/>
      <c r="D74" s="96"/>
      <c r="E74" s="96"/>
      <c r="F74" s="93"/>
      <c r="G74" s="78"/>
      <c r="H74" s="78"/>
      <c r="I74" s="84"/>
      <c r="J74" s="84"/>
      <c r="K74" s="84"/>
      <c r="L74" s="215"/>
      <c r="M74" s="83"/>
    </row>
    <row r="75" spans="1:13" s="6" customFormat="1" ht="15" customHeight="1" x14ac:dyDescent="0.3">
      <c r="A75" s="93"/>
      <c r="B75" s="86"/>
      <c r="C75" s="86"/>
      <c r="D75" s="96"/>
      <c r="E75" s="96"/>
      <c r="F75" s="93"/>
      <c r="G75" s="78"/>
      <c r="H75" s="78"/>
      <c r="I75" s="84"/>
      <c r="J75" s="84"/>
      <c r="K75" s="84"/>
      <c r="L75" s="215"/>
      <c r="M75" s="83"/>
    </row>
    <row r="76" spans="1:13" s="6" customFormat="1" ht="15" customHeight="1" x14ac:dyDescent="0.3">
      <c r="A76" s="93"/>
      <c r="B76" s="86"/>
      <c r="C76" s="86"/>
      <c r="D76" s="98"/>
      <c r="E76" s="96"/>
      <c r="F76" s="93"/>
      <c r="G76" s="78"/>
      <c r="H76" s="78"/>
      <c r="I76" s="84"/>
      <c r="J76" s="84"/>
      <c r="K76" s="84"/>
      <c r="L76" s="217"/>
      <c r="M76" s="83"/>
    </row>
    <row r="77" spans="1:13" s="99" customFormat="1" ht="15" customHeight="1" x14ac:dyDescent="0.3">
      <c r="A77" s="93"/>
      <c r="B77" s="86"/>
      <c r="C77" s="86"/>
      <c r="D77" s="184"/>
      <c r="E77" s="184"/>
      <c r="F77" s="93"/>
      <c r="G77" s="78"/>
      <c r="H77" s="78"/>
      <c r="I77" s="178"/>
      <c r="J77" s="81"/>
      <c r="K77" s="81"/>
      <c r="L77" s="218"/>
      <c r="M77" s="97"/>
    </row>
    <row r="78" spans="1:13" s="99" customFormat="1" ht="15" customHeight="1" x14ac:dyDescent="0.3">
      <c r="A78" s="93"/>
      <c r="B78" s="86"/>
      <c r="C78" s="86"/>
      <c r="D78" s="146"/>
      <c r="E78" s="105"/>
      <c r="F78" s="93"/>
      <c r="G78" s="78"/>
      <c r="H78" s="78"/>
      <c r="I78" s="81"/>
      <c r="J78" s="81"/>
      <c r="K78" s="81"/>
      <c r="L78" s="219"/>
      <c r="M78" s="97"/>
    </row>
    <row r="79" spans="1:13" s="99" customFormat="1" ht="15" customHeight="1" x14ac:dyDescent="0.3">
      <c r="A79" s="93"/>
      <c r="B79" s="86"/>
      <c r="C79" s="86"/>
      <c r="D79" s="146"/>
      <c r="E79" s="105"/>
      <c r="F79" s="93"/>
      <c r="G79" s="78"/>
      <c r="H79" s="78"/>
      <c r="I79" s="81"/>
      <c r="J79" s="81"/>
      <c r="K79" s="81"/>
      <c r="L79" s="219"/>
      <c r="M79" s="97"/>
    </row>
    <row r="80" spans="1:13" s="6" customFormat="1" ht="15" customHeight="1" x14ac:dyDescent="0.3">
      <c r="A80" s="93"/>
      <c r="B80" s="86"/>
      <c r="C80" s="86"/>
      <c r="D80" s="98"/>
      <c r="E80" s="96"/>
      <c r="F80" s="93"/>
      <c r="G80" s="78"/>
      <c r="H80" s="78"/>
      <c r="I80" s="84"/>
      <c r="J80" s="84"/>
      <c r="K80" s="84"/>
      <c r="L80" s="215"/>
      <c r="M80" s="83"/>
    </row>
    <row r="81" spans="1:13" s="6" customFormat="1" ht="15" customHeight="1" x14ac:dyDescent="0.3">
      <c r="A81" s="93"/>
      <c r="B81" s="86"/>
      <c r="C81" s="86"/>
      <c r="D81" s="169"/>
      <c r="E81" s="168"/>
      <c r="F81" s="93"/>
      <c r="G81" s="78"/>
      <c r="H81" s="78"/>
      <c r="I81" s="84"/>
      <c r="J81" s="84"/>
      <c r="K81" s="84"/>
      <c r="L81" s="220"/>
      <c r="M81" s="83"/>
    </row>
    <row r="82" spans="1:13" s="6" customFormat="1" ht="15" customHeight="1" x14ac:dyDescent="0.3">
      <c r="A82" s="93"/>
      <c r="B82" s="86"/>
      <c r="C82" s="86"/>
      <c r="D82" s="169"/>
      <c r="E82" s="168"/>
      <c r="F82" s="93"/>
      <c r="G82" s="78"/>
      <c r="H82" s="78"/>
      <c r="I82" s="84"/>
      <c r="J82" s="84"/>
      <c r="K82" s="84"/>
      <c r="L82" s="220"/>
      <c r="M82" s="83"/>
    </row>
    <row r="83" spans="1:13" s="6" customFormat="1" ht="15" customHeight="1" x14ac:dyDescent="0.3">
      <c r="A83" s="93"/>
      <c r="B83" s="86"/>
      <c r="C83" s="86"/>
      <c r="D83" s="169"/>
      <c r="E83" s="168"/>
      <c r="F83" s="93"/>
      <c r="G83" s="78"/>
      <c r="H83" s="78"/>
      <c r="I83" s="84"/>
      <c r="J83" s="84"/>
      <c r="K83" s="84"/>
      <c r="L83" s="220"/>
      <c r="M83" s="83"/>
    </row>
    <row r="84" spans="1:13" s="99" customFormat="1" ht="15" customHeight="1" x14ac:dyDescent="0.3">
      <c r="A84" s="93"/>
      <c r="B84" s="86"/>
      <c r="C84" s="86"/>
      <c r="D84" s="185"/>
      <c r="E84" s="182"/>
      <c r="F84" s="93"/>
      <c r="G84" s="78"/>
      <c r="H84" s="78"/>
      <c r="I84" s="183"/>
      <c r="J84" s="183"/>
      <c r="K84" s="183"/>
      <c r="L84" s="214"/>
      <c r="M84" s="97"/>
    </row>
    <row r="85" spans="1:13" s="6" customFormat="1" ht="15" customHeight="1" x14ac:dyDescent="0.3">
      <c r="A85" s="93"/>
      <c r="B85" s="86"/>
      <c r="C85" s="86"/>
      <c r="D85" s="145"/>
      <c r="E85" s="145"/>
      <c r="F85" s="93"/>
      <c r="G85" s="186"/>
      <c r="H85" s="78"/>
      <c r="I85" s="180"/>
      <c r="J85" s="187"/>
      <c r="K85" s="100"/>
      <c r="L85" s="221"/>
      <c r="M85" s="83"/>
    </row>
    <row r="86" spans="1:13" s="6" customFormat="1" ht="15" customHeight="1" x14ac:dyDescent="0.3">
      <c r="A86" s="93"/>
      <c r="B86" s="86"/>
      <c r="C86" s="86"/>
      <c r="D86" s="96"/>
      <c r="E86" s="96"/>
      <c r="F86" s="93"/>
      <c r="G86" s="80"/>
      <c r="H86" s="78"/>
      <c r="I86" s="84"/>
      <c r="J86" s="84"/>
      <c r="K86" s="84"/>
      <c r="L86" s="211"/>
      <c r="M86" s="83"/>
    </row>
    <row r="87" spans="1:13" s="6" customFormat="1" ht="15" customHeight="1" x14ac:dyDescent="0.3">
      <c r="A87" s="93"/>
      <c r="B87" s="86"/>
      <c r="C87" s="86"/>
      <c r="D87" s="188"/>
      <c r="E87" s="189"/>
      <c r="F87" s="93"/>
      <c r="G87" s="190"/>
      <c r="H87" s="78"/>
      <c r="I87" s="84"/>
      <c r="J87" s="179"/>
      <c r="K87" s="179"/>
      <c r="L87" s="211"/>
      <c r="M87" s="83"/>
    </row>
    <row r="88" spans="1:13" s="6" customFormat="1" ht="15" customHeight="1" x14ac:dyDescent="0.3">
      <c r="A88" s="93"/>
      <c r="B88" s="86"/>
      <c r="C88" s="86"/>
      <c r="D88" s="101"/>
      <c r="E88" s="101"/>
      <c r="F88" s="93"/>
      <c r="G88" s="51"/>
      <c r="H88" s="78"/>
      <c r="I88" s="84"/>
      <c r="J88" s="52"/>
      <c r="K88" s="52"/>
      <c r="L88" s="211"/>
      <c r="M88" s="83"/>
    </row>
    <row r="89" spans="1:13" s="6" customFormat="1" ht="15" customHeight="1" x14ac:dyDescent="0.3">
      <c r="A89" s="93"/>
      <c r="B89" s="86"/>
      <c r="C89" s="86"/>
      <c r="D89" s="103"/>
      <c r="E89" s="103"/>
      <c r="F89" s="93"/>
      <c r="G89" s="51"/>
      <c r="H89" s="78"/>
      <c r="I89" s="84"/>
      <c r="J89" s="52"/>
      <c r="K89" s="52"/>
      <c r="L89" s="211"/>
      <c r="M89" s="83"/>
    </row>
    <row r="90" spans="1:13" s="6" customFormat="1" ht="15" customHeight="1" x14ac:dyDescent="0.3">
      <c r="A90" s="93"/>
      <c r="B90" s="86"/>
      <c r="C90" s="86"/>
      <c r="D90" s="102"/>
      <c r="E90" s="103"/>
      <c r="F90" s="93"/>
      <c r="G90" s="51"/>
      <c r="H90" s="78"/>
      <c r="I90" s="84"/>
      <c r="J90" s="52"/>
      <c r="K90" s="52"/>
      <c r="L90" s="211"/>
      <c r="M90" s="83"/>
    </row>
    <row r="91" spans="1:13" s="6" customFormat="1" ht="15" customHeight="1" x14ac:dyDescent="0.3">
      <c r="A91" s="93"/>
      <c r="B91" s="86"/>
      <c r="C91" s="86"/>
      <c r="D91" s="103"/>
      <c r="E91" s="103"/>
      <c r="F91" s="93"/>
      <c r="G91" s="51"/>
      <c r="H91" s="78"/>
      <c r="I91" s="84"/>
      <c r="J91" s="52"/>
      <c r="K91" s="52"/>
      <c r="L91" s="211"/>
      <c r="M91" s="83"/>
    </row>
    <row r="92" spans="1:13" s="6" customFormat="1" ht="15" customHeight="1" x14ac:dyDescent="0.3">
      <c r="A92" s="93"/>
      <c r="B92" s="86"/>
      <c r="C92" s="86"/>
      <c r="D92" s="168"/>
      <c r="E92" s="168"/>
      <c r="F92" s="93"/>
      <c r="G92" s="80"/>
      <c r="H92" s="78"/>
      <c r="I92" s="84"/>
      <c r="J92" s="84"/>
      <c r="K92" s="84"/>
      <c r="L92" s="211"/>
      <c r="M92" s="83"/>
    </row>
    <row r="93" spans="1:13" s="6" customFormat="1" ht="15" customHeight="1" x14ac:dyDescent="0.3">
      <c r="A93" s="93"/>
      <c r="B93" s="86"/>
      <c r="C93" s="86"/>
      <c r="D93" s="168"/>
      <c r="E93" s="168"/>
      <c r="F93" s="93"/>
      <c r="G93" s="80"/>
      <c r="H93" s="78"/>
      <c r="I93" s="84"/>
      <c r="J93" s="84"/>
      <c r="K93" s="84"/>
      <c r="L93" s="211"/>
      <c r="M93" s="83"/>
    </row>
    <row r="94" spans="1:13" s="6" customFormat="1" ht="15" customHeight="1" x14ac:dyDescent="0.3">
      <c r="A94" s="93"/>
      <c r="B94" s="86"/>
      <c r="C94" s="86"/>
      <c r="D94" s="168"/>
      <c r="E94" s="168"/>
      <c r="F94" s="93"/>
      <c r="G94" s="80"/>
      <c r="H94" s="78"/>
      <c r="I94" s="84"/>
      <c r="J94" s="84"/>
      <c r="K94" s="84"/>
      <c r="L94" s="211"/>
      <c r="M94" s="83"/>
    </row>
    <row r="95" spans="1:13" s="6" customFormat="1" ht="15" customHeight="1" x14ac:dyDescent="0.3">
      <c r="A95" s="93"/>
      <c r="B95" s="86"/>
      <c r="C95" s="86"/>
      <c r="D95" s="168"/>
      <c r="E95" s="168"/>
      <c r="F95" s="93"/>
      <c r="G95" s="80"/>
      <c r="H95" s="78"/>
      <c r="I95" s="84"/>
      <c r="J95" s="84"/>
      <c r="K95" s="84"/>
      <c r="L95" s="211"/>
      <c r="M95" s="83"/>
    </row>
    <row r="96" spans="1:13" s="6" customFormat="1" ht="15" customHeight="1" x14ac:dyDescent="0.3">
      <c r="A96" s="93"/>
      <c r="B96" s="86"/>
      <c r="C96" s="86"/>
      <c r="D96" s="168"/>
      <c r="E96" s="168"/>
      <c r="F96" s="93"/>
      <c r="G96" s="80"/>
      <c r="H96" s="78"/>
      <c r="I96" s="84"/>
      <c r="J96" s="84"/>
      <c r="K96" s="84"/>
      <c r="L96" s="211"/>
      <c r="M96" s="83"/>
    </row>
    <row r="97" spans="1:13" s="6" customFormat="1" ht="15" customHeight="1" x14ac:dyDescent="0.3">
      <c r="A97" s="93"/>
      <c r="B97" s="86"/>
      <c r="C97" s="86"/>
      <c r="D97" s="168"/>
      <c r="E97" s="168"/>
      <c r="F97" s="93"/>
      <c r="G97" s="80"/>
      <c r="H97" s="78"/>
      <c r="I97" s="84"/>
      <c r="J97" s="84"/>
      <c r="K97" s="84"/>
      <c r="L97" s="211"/>
      <c r="M97" s="83"/>
    </row>
    <row r="98" spans="1:13" s="6" customFormat="1" ht="15" customHeight="1" x14ac:dyDescent="0.3">
      <c r="A98" s="93"/>
      <c r="B98" s="86"/>
      <c r="C98" s="86"/>
      <c r="D98" s="170"/>
      <c r="E98" s="168"/>
      <c r="F98" s="93"/>
      <c r="G98" s="80"/>
      <c r="H98" s="78"/>
      <c r="I98" s="84"/>
      <c r="J98" s="84"/>
      <c r="K98" s="84"/>
      <c r="L98" s="211"/>
      <c r="M98" s="83"/>
    </row>
    <row r="99" spans="1:13" s="91" customFormat="1" ht="15" customHeight="1" x14ac:dyDescent="0.3">
      <c r="A99" s="93"/>
      <c r="B99" s="86"/>
      <c r="C99" s="86"/>
      <c r="D99" s="171"/>
      <c r="E99" s="104"/>
      <c r="F99" s="93"/>
      <c r="G99" s="80"/>
      <c r="H99" s="78"/>
      <c r="I99" s="84"/>
      <c r="J99" s="84"/>
      <c r="K99" s="84"/>
      <c r="L99" s="213"/>
      <c r="M99" s="200"/>
    </row>
    <row r="100" spans="1:13" s="91" customFormat="1" ht="15" customHeight="1" x14ac:dyDescent="0.3">
      <c r="A100" s="93"/>
      <c r="B100" s="86"/>
      <c r="C100" s="86"/>
      <c r="D100" s="148"/>
      <c r="E100" s="191"/>
      <c r="F100" s="93"/>
      <c r="G100" s="149"/>
      <c r="H100" s="78"/>
      <c r="I100" s="84"/>
      <c r="J100" s="84"/>
      <c r="K100" s="84"/>
      <c r="L100" s="213"/>
      <c r="M100" s="200"/>
    </row>
    <row r="101" spans="1:13" s="91" customFormat="1" ht="15" customHeight="1" x14ac:dyDescent="0.3">
      <c r="A101" s="93"/>
      <c r="B101" s="86"/>
      <c r="C101" s="86"/>
      <c r="D101" s="191"/>
      <c r="E101" s="191"/>
      <c r="F101" s="93"/>
      <c r="G101" s="80"/>
      <c r="H101" s="78"/>
      <c r="I101" s="84"/>
      <c r="J101" s="84"/>
      <c r="K101" s="84"/>
      <c r="L101" s="213"/>
      <c r="M101" s="200"/>
    </row>
    <row r="102" spans="1:13" s="91" customFormat="1" ht="15" customHeight="1" x14ac:dyDescent="0.3">
      <c r="A102" s="93"/>
      <c r="B102" s="86"/>
      <c r="C102" s="86"/>
      <c r="D102" s="191"/>
      <c r="E102" s="191"/>
      <c r="F102" s="93"/>
      <c r="G102" s="80"/>
      <c r="H102" s="78"/>
      <c r="I102" s="84"/>
      <c r="J102" s="84"/>
      <c r="K102" s="84"/>
      <c r="L102" s="213"/>
      <c r="M102" s="200"/>
    </row>
    <row r="103" spans="1:13" s="91" customFormat="1" ht="15" customHeight="1" x14ac:dyDescent="0.3">
      <c r="A103" s="93"/>
      <c r="B103" s="86"/>
      <c r="C103" s="86"/>
      <c r="D103" s="191"/>
      <c r="E103" s="191"/>
      <c r="F103" s="93"/>
      <c r="G103" s="80"/>
      <c r="H103" s="78"/>
      <c r="I103" s="84"/>
      <c r="J103" s="84"/>
      <c r="K103" s="84"/>
      <c r="L103" s="213"/>
      <c r="M103" s="200"/>
    </row>
    <row r="104" spans="1:13" s="91" customFormat="1" ht="15" customHeight="1" x14ac:dyDescent="0.3">
      <c r="A104" s="93"/>
      <c r="B104" s="86"/>
      <c r="C104" s="86"/>
      <c r="D104" s="191"/>
      <c r="E104" s="191"/>
      <c r="F104" s="93"/>
      <c r="G104" s="80"/>
      <c r="H104" s="78"/>
      <c r="I104" s="84"/>
      <c r="J104" s="84"/>
      <c r="K104" s="84"/>
      <c r="L104" s="213"/>
      <c r="M104" s="200"/>
    </row>
    <row r="105" spans="1:13" s="91" customFormat="1" ht="15" customHeight="1" x14ac:dyDescent="0.3">
      <c r="A105" s="93"/>
      <c r="B105" s="86"/>
      <c r="C105" s="86"/>
      <c r="D105" s="191"/>
      <c r="E105" s="191"/>
      <c r="F105" s="93"/>
      <c r="G105" s="80"/>
      <c r="H105" s="78"/>
      <c r="I105" s="84"/>
      <c r="J105" s="84"/>
      <c r="K105" s="84"/>
      <c r="L105" s="213"/>
      <c r="M105" s="200"/>
    </row>
    <row r="106" spans="1:13" s="91" customFormat="1" ht="15" customHeight="1" x14ac:dyDescent="0.3">
      <c r="A106" s="93"/>
      <c r="B106" s="86"/>
      <c r="C106" s="86"/>
      <c r="D106" s="191"/>
      <c r="E106" s="191"/>
      <c r="F106" s="93"/>
      <c r="G106" s="80"/>
      <c r="H106" s="78"/>
      <c r="I106" s="84"/>
      <c r="J106" s="84"/>
      <c r="K106" s="84"/>
      <c r="L106" s="213"/>
      <c r="M106" s="200"/>
    </row>
    <row r="107" spans="1:13" s="91" customFormat="1" ht="15" customHeight="1" x14ac:dyDescent="0.3">
      <c r="A107" s="93"/>
      <c r="B107" s="86"/>
      <c r="C107" s="86"/>
      <c r="D107" s="191"/>
      <c r="E107" s="191"/>
      <c r="F107" s="93"/>
      <c r="G107" s="80"/>
      <c r="H107" s="78"/>
      <c r="I107" s="84"/>
      <c r="J107" s="84"/>
      <c r="K107" s="84"/>
      <c r="L107" s="213"/>
      <c r="M107" s="200"/>
    </row>
    <row r="108" spans="1:13" s="91" customFormat="1" ht="15" customHeight="1" x14ac:dyDescent="0.3">
      <c r="A108" s="93"/>
      <c r="B108" s="86"/>
      <c r="C108" s="86"/>
      <c r="D108" s="191"/>
      <c r="E108" s="191"/>
      <c r="F108" s="93"/>
      <c r="G108" s="80"/>
      <c r="H108" s="78"/>
      <c r="I108" s="84"/>
      <c r="J108" s="84"/>
      <c r="K108" s="84"/>
      <c r="L108" s="213"/>
      <c r="M108" s="200"/>
    </row>
    <row r="109" spans="1:13" s="91" customFormat="1" ht="15" customHeight="1" x14ac:dyDescent="0.3">
      <c r="A109" s="93"/>
      <c r="B109" s="86"/>
      <c r="C109" s="86"/>
      <c r="D109" s="191"/>
      <c r="E109" s="191"/>
      <c r="F109" s="93"/>
      <c r="G109" s="80"/>
      <c r="H109" s="78"/>
      <c r="I109" s="84"/>
      <c r="J109" s="84"/>
      <c r="K109" s="84"/>
      <c r="L109" s="213"/>
      <c r="M109" s="200"/>
    </row>
    <row r="110" spans="1:13" s="106" customFormat="1" ht="15" customHeight="1" x14ac:dyDescent="0.3">
      <c r="A110" s="93"/>
      <c r="B110" s="86"/>
      <c r="C110" s="86"/>
      <c r="D110" s="105"/>
      <c r="E110" s="105"/>
      <c r="F110" s="93"/>
      <c r="G110" s="79"/>
      <c r="H110" s="78"/>
      <c r="I110" s="84"/>
      <c r="J110" s="81"/>
      <c r="K110" s="81"/>
      <c r="L110" s="222"/>
      <c r="M110" s="201"/>
    </row>
    <row r="111" spans="1:13" s="91" customFormat="1" ht="15" customHeight="1" x14ac:dyDescent="0.3">
      <c r="A111" s="93"/>
      <c r="B111" s="86"/>
      <c r="C111" s="86"/>
      <c r="D111" s="96"/>
      <c r="E111" s="96"/>
      <c r="F111" s="93"/>
      <c r="G111" s="143"/>
      <c r="H111" s="78"/>
      <c r="I111" s="84"/>
      <c r="J111" s="84"/>
      <c r="K111" s="84"/>
      <c r="L111" s="223"/>
      <c r="M111" s="200"/>
    </row>
    <row r="112" spans="1:13" s="91" customFormat="1" ht="15" customHeight="1" x14ac:dyDescent="0.3">
      <c r="A112" s="93"/>
      <c r="B112" s="86"/>
      <c r="C112" s="86"/>
      <c r="D112" s="96"/>
      <c r="E112" s="96"/>
      <c r="F112" s="93"/>
      <c r="G112" s="143"/>
      <c r="H112" s="78"/>
      <c r="I112" s="84"/>
      <c r="J112" s="84"/>
      <c r="K112" s="84"/>
      <c r="L112" s="223"/>
      <c r="M112" s="200"/>
    </row>
    <row r="113" spans="1:13" s="106" customFormat="1" ht="15" customHeight="1" x14ac:dyDescent="0.3">
      <c r="A113" s="93"/>
      <c r="B113" s="86"/>
      <c r="C113" s="86"/>
      <c r="D113" s="105"/>
      <c r="E113" s="105"/>
      <c r="F113" s="93"/>
      <c r="G113" s="79"/>
      <c r="H113" s="78"/>
      <c r="I113" s="84"/>
      <c r="J113" s="81"/>
      <c r="K113" s="81"/>
      <c r="L113" s="224"/>
      <c r="M113" s="201"/>
    </row>
    <row r="114" spans="1:13" s="91" customFormat="1" ht="15" customHeight="1" x14ac:dyDescent="0.3">
      <c r="A114" s="93"/>
      <c r="B114" s="86"/>
      <c r="C114" s="86"/>
      <c r="D114" s="96"/>
      <c r="E114" s="96"/>
      <c r="F114" s="93"/>
      <c r="G114" s="87"/>
      <c r="H114" s="78"/>
      <c r="I114" s="84"/>
      <c r="J114" s="84"/>
      <c r="K114" s="84"/>
      <c r="L114" s="213"/>
      <c r="M114" s="200"/>
    </row>
    <row r="115" spans="1:13" s="91" customFormat="1" ht="15" customHeight="1" x14ac:dyDescent="0.3">
      <c r="A115" s="93"/>
      <c r="B115" s="86"/>
      <c r="C115" s="86"/>
      <c r="D115" s="96"/>
      <c r="E115" s="96"/>
      <c r="F115" s="93"/>
      <c r="G115" s="87"/>
      <c r="H115" s="78"/>
      <c r="I115" s="84"/>
      <c r="J115" s="84"/>
      <c r="K115" s="84"/>
      <c r="L115" s="213"/>
      <c r="M115" s="200"/>
    </row>
    <row r="116" spans="1:13" s="91" customFormat="1" ht="15" customHeight="1" x14ac:dyDescent="0.3">
      <c r="A116" s="93"/>
      <c r="B116" s="86"/>
      <c r="C116" s="86"/>
      <c r="D116" s="104"/>
      <c r="E116" s="104"/>
      <c r="F116" s="93"/>
      <c r="G116" s="87"/>
      <c r="H116" s="78"/>
      <c r="I116" s="84"/>
      <c r="J116" s="84"/>
      <c r="K116" s="84"/>
      <c r="L116" s="213"/>
      <c r="M116" s="200"/>
    </row>
    <row r="117" spans="1:13" s="91" customFormat="1" ht="15" customHeight="1" x14ac:dyDescent="0.3">
      <c r="A117" s="93"/>
      <c r="B117" s="86"/>
      <c r="C117" s="86"/>
      <c r="D117" s="104"/>
      <c r="E117" s="104"/>
      <c r="F117" s="93"/>
      <c r="G117" s="87"/>
      <c r="H117" s="78"/>
      <c r="I117" s="84"/>
      <c r="J117" s="84"/>
      <c r="K117" s="84"/>
      <c r="L117" s="213"/>
      <c r="M117" s="200"/>
    </row>
    <row r="118" spans="1:13" s="91" customFormat="1" ht="15" customHeight="1" x14ac:dyDescent="0.3">
      <c r="A118" s="93"/>
      <c r="B118" s="86"/>
      <c r="C118" s="86"/>
      <c r="D118" s="104"/>
      <c r="E118" s="104"/>
      <c r="F118" s="93"/>
      <c r="G118" s="87"/>
      <c r="H118" s="78"/>
      <c r="I118" s="84"/>
      <c r="J118" s="84"/>
      <c r="K118" s="84"/>
      <c r="L118" s="213"/>
      <c r="M118" s="200"/>
    </row>
    <row r="119" spans="1:13" s="91" customFormat="1" ht="15" customHeight="1" x14ac:dyDescent="0.3">
      <c r="A119" s="93"/>
      <c r="B119" s="86"/>
      <c r="C119" s="86"/>
      <c r="D119" s="104"/>
      <c r="E119" s="104"/>
      <c r="F119" s="93"/>
      <c r="G119" s="87"/>
      <c r="H119" s="78"/>
      <c r="I119" s="84"/>
      <c r="J119" s="84"/>
      <c r="K119" s="84"/>
      <c r="L119" s="213"/>
      <c r="M119" s="200"/>
    </row>
    <row r="120" spans="1:13" s="91" customFormat="1" ht="15" customHeight="1" x14ac:dyDescent="0.3">
      <c r="A120" s="93"/>
      <c r="B120" s="86"/>
      <c r="C120" s="86"/>
      <c r="D120" s="104"/>
      <c r="E120" s="104"/>
      <c r="F120" s="93"/>
      <c r="G120" s="87"/>
      <c r="H120" s="78"/>
      <c r="I120" s="84"/>
      <c r="J120" s="84"/>
      <c r="K120" s="84"/>
      <c r="L120" s="213"/>
      <c r="M120" s="200"/>
    </row>
    <row r="121" spans="1:13" s="6" customFormat="1" ht="15" customHeight="1" x14ac:dyDescent="0.3">
      <c r="A121" s="93"/>
      <c r="B121" s="86"/>
      <c r="C121" s="86"/>
      <c r="D121" s="104"/>
      <c r="E121" s="104"/>
      <c r="F121" s="93"/>
      <c r="G121" s="87"/>
      <c r="H121" s="78"/>
      <c r="I121" s="84"/>
      <c r="J121" s="84"/>
      <c r="K121" s="84"/>
      <c r="L121" s="213"/>
      <c r="M121" s="83"/>
    </row>
    <row r="122" spans="1:13" s="99" customFormat="1" ht="15" customHeight="1" x14ac:dyDescent="0.3">
      <c r="A122" s="93"/>
      <c r="B122" s="86"/>
      <c r="C122" s="86"/>
      <c r="D122" s="105"/>
      <c r="E122" s="105"/>
      <c r="F122" s="93"/>
      <c r="G122" s="79"/>
      <c r="H122" s="78"/>
      <c r="I122" s="81"/>
      <c r="J122" s="81"/>
      <c r="K122" s="81"/>
      <c r="L122" s="225"/>
      <c r="M122" s="97"/>
    </row>
    <row r="123" spans="1:13" s="6" customFormat="1" ht="15" customHeight="1" x14ac:dyDescent="0.3">
      <c r="A123" s="93"/>
      <c r="B123" s="86"/>
      <c r="C123" s="86"/>
      <c r="D123" s="172"/>
      <c r="E123" s="172"/>
      <c r="F123" s="93"/>
      <c r="G123" s="86"/>
      <c r="H123" s="78"/>
      <c r="I123" s="84"/>
      <c r="J123" s="84"/>
      <c r="K123" s="84"/>
      <c r="L123" s="211"/>
      <c r="M123" s="83"/>
    </row>
    <row r="124" spans="1:13" s="6" customFormat="1" ht="15" customHeight="1" x14ac:dyDescent="0.3">
      <c r="A124" s="93"/>
      <c r="B124" s="86"/>
      <c r="C124" s="86"/>
      <c r="D124" s="104"/>
      <c r="E124" s="104"/>
      <c r="F124" s="93"/>
      <c r="G124" s="80"/>
      <c r="H124" s="78"/>
      <c r="I124" s="84"/>
      <c r="J124" s="84"/>
      <c r="K124" s="84"/>
      <c r="L124" s="211"/>
      <c r="M124" s="83"/>
    </row>
    <row r="125" spans="1:13" s="6" customFormat="1" ht="15" customHeight="1" x14ac:dyDescent="0.3">
      <c r="A125" s="93"/>
      <c r="B125" s="86"/>
      <c r="C125" s="86"/>
      <c r="D125" s="172"/>
      <c r="E125" s="172"/>
      <c r="F125" s="93"/>
      <c r="G125" s="86"/>
      <c r="H125" s="78"/>
      <c r="I125" s="84"/>
      <c r="J125" s="84"/>
      <c r="K125" s="84"/>
      <c r="L125" s="211"/>
      <c r="M125" s="83"/>
    </row>
    <row r="126" spans="1:13" s="6" customFormat="1" ht="15" customHeight="1" x14ac:dyDescent="0.3">
      <c r="A126" s="93"/>
      <c r="B126" s="86"/>
      <c r="C126" s="86"/>
      <c r="D126" s="191"/>
      <c r="E126" s="191"/>
      <c r="F126" s="93"/>
      <c r="G126" s="80"/>
      <c r="H126" s="78"/>
      <c r="I126" s="84"/>
      <c r="J126" s="84"/>
      <c r="K126" s="84"/>
      <c r="L126" s="211"/>
      <c r="M126" s="83"/>
    </row>
    <row r="127" spans="1:13" s="99" customFormat="1" ht="15" customHeight="1" x14ac:dyDescent="0.3">
      <c r="A127" s="93"/>
      <c r="B127" s="86"/>
      <c r="C127" s="86"/>
      <c r="D127" s="105"/>
      <c r="E127" s="191"/>
      <c r="F127" s="93"/>
      <c r="G127" s="79"/>
      <c r="H127" s="78"/>
      <c r="I127" s="84"/>
      <c r="J127" s="81"/>
      <c r="K127" s="81"/>
      <c r="L127" s="225"/>
      <c r="M127" s="97"/>
    </row>
    <row r="128" spans="1:13" s="6" customFormat="1" ht="15" customHeight="1" x14ac:dyDescent="0.3">
      <c r="A128" s="93"/>
      <c r="B128" s="86"/>
      <c r="C128" s="86"/>
      <c r="D128" s="168"/>
      <c r="E128" s="168"/>
      <c r="F128" s="93"/>
      <c r="G128" s="80"/>
      <c r="H128" s="78"/>
      <c r="I128" s="84"/>
      <c r="J128" s="84"/>
      <c r="K128" s="84"/>
      <c r="L128" s="211"/>
      <c r="M128" s="83"/>
    </row>
    <row r="129" spans="1:13" s="6" customFormat="1" ht="15" customHeight="1" x14ac:dyDescent="0.3">
      <c r="A129" s="93"/>
      <c r="B129" s="86"/>
      <c r="C129" s="86"/>
      <c r="D129" s="168"/>
      <c r="E129" s="168"/>
      <c r="F129" s="93"/>
      <c r="G129" s="80"/>
      <c r="H129" s="78"/>
      <c r="I129" s="84"/>
      <c r="J129" s="84"/>
      <c r="K129" s="84"/>
      <c r="L129" s="211"/>
      <c r="M129" s="83"/>
    </row>
    <row r="130" spans="1:13" s="6" customFormat="1" ht="15" customHeight="1" x14ac:dyDescent="0.3">
      <c r="A130" s="93"/>
      <c r="B130" s="86"/>
      <c r="C130" s="86"/>
      <c r="D130" s="96"/>
      <c r="E130" s="96"/>
      <c r="F130" s="93"/>
      <c r="G130" s="80"/>
      <c r="H130" s="78"/>
      <c r="I130" s="84"/>
      <c r="J130" s="84"/>
      <c r="K130" s="84"/>
      <c r="L130" s="211"/>
      <c r="M130" s="83"/>
    </row>
    <row r="131" spans="1:13" s="99" customFormat="1" ht="15" customHeight="1" x14ac:dyDescent="0.3">
      <c r="A131" s="93"/>
      <c r="B131" s="86"/>
      <c r="C131" s="86"/>
      <c r="D131" s="105"/>
      <c r="E131" s="105"/>
      <c r="F131" s="93"/>
      <c r="G131" s="79"/>
      <c r="H131" s="78"/>
      <c r="I131" s="84"/>
      <c r="J131" s="81"/>
      <c r="K131" s="81"/>
      <c r="L131" s="225"/>
      <c r="M131" s="97"/>
    </row>
    <row r="132" spans="1:13" s="6" customFormat="1" ht="15" customHeight="1" x14ac:dyDescent="0.3">
      <c r="A132" s="93"/>
      <c r="B132" s="86"/>
      <c r="C132" s="86"/>
      <c r="D132" s="104"/>
      <c r="E132" s="104"/>
      <c r="F132" s="93"/>
      <c r="G132" s="80"/>
      <c r="H132" s="78"/>
      <c r="I132" s="84"/>
      <c r="J132" s="84"/>
      <c r="K132" s="84"/>
      <c r="L132" s="211"/>
      <c r="M132" s="83"/>
    </row>
    <row r="133" spans="1:13" s="6" customFormat="1" ht="15" customHeight="1" x14ac:dyDescent="0.3">
      <c r="A133" s="93"/>
      <c r="B133" s="86"/>
      <c r="C133" s="86"/>
      <c r="D133" s="104"/>
      <c r="E133" s="104"/>
      <c r="F133" s="93"/>
      <c r="G133" s="80"/>
      <c r="H133" s="78"/>
      <c r="I133" s="84"/>
      <c r="J133" s="84"/>
      <c r="K133" s="84"/>
      <c r="L133" s="211"/>
      <c r="M133" s="83"/>
    </row>
    <row r="134" spans="1:13" s="6" customFormat="1" ht="15" customHeight="1" x14ac:dyDescent="0.3">
      <c r="A134" s="93"/>
      <c r="B134" s="86"/>
      <c r="C134" s="86"/>
      <c r="D134" s="191"/>
      <c r="E134" s="191"/>
      <c r="F134" s="93"/>
      <c r="G134" s="80"/>
      <c r="H134" s="78"/>
      <c r="I134" s="84"/>
      <c r="J134" s="84"/>
      <c r="K134" s="84"/>
      <c r="L134" s="211"/>
      <c r="M134" s="83"/>
    </row>
    <row r="135" spans="1:13" s="99" customFormat="1" ht="15" customHeight="1" x14ac:dyDescent="0.3">
      <c r="A135" s="93"/>
      <c r="B135" s="86"/>
      <c r="C135" s="86"/>
      <c r="D135" s="105"/>
      <c r="E135" s="105"/>
      <c r="F135" s="93"/>
      <c r="G135" s="79"/>
      <c r="H135" s="78"/>
      <c r="I135" s="84"/>
      <c r="J135" s="81"/>
      <c r="K135" s="81"/>
      <c r="L135" s="225"/>
      <c r="M135" s="97"/>
    </row>
    <row r="136" spans="1:13" s="6" customFormat="1" ht="15" customHeight="1" x14ac:dyDescent="0.3">
      <c r="A136" s="93"/>
      <c r="B136" s="86"/>
      <c r="C136" s="86"/>
      <c r="D136" s="96"/>
      <c r="E136" s="96"/>
      <c r="F136" s="93"/>
      <c r="G136" s="80"/>
      <c r="H136" s="78"/>
      <c r="I136" s="84"/>
      <c r="J136" s="84"/>
      <c r="K136" s="84"/>
      <c r="L136" s="211"/>
      <c r="M136" s="83"/>
    </row>
    <row r="137" spans="1:13" s="6" customFormat="1" ht="15" customHeight="1" x14ac:dyDescent="0.3">
      <c r="A137" s="93"/>
      <c r="B137" s="86"/>
      <c r="C137" s="86"/>
      <c r="D137" s="168"/>
      <c r="E137" s="168"/>
      <c r="F137" s="93"/>
      <c r="G137" s="80"/>
      <c r="H137" s="78"/>
      <c r="I137" s="84"/>
      <c r="J137" s="84"/>
      <c r="K137" s="84"/>
      <c r="L137" s="211"/>
      <c r="M137" s="83"/>
    </row>
    <row r="138" spans="1:13" s="6" customFormat="1" ht="15" customHeight="1" x14ac:dyDescent="0.3">
      <c r="A138" s="93"/>
      <c r="B138" s="86"/>
      <c r="C138" s="86"/>
      <c r="D138" s="168"/>
      <c r="E138" s="168"/>
      <c r="F138" s="93"/>
      <c r="G138" s="80"/>
      <c r="H138" s="78"/>
      <c r="I138" s="84"/>
      <c r="J138" s="84"/>
      <c r="K138" s="84"/>
      <c r="L138" s="211"/>
      <c r="M138" s="83"/>
    </row>
    <row r="139" spans="1:13" s="6" customFormat="1" ht="15" customHeight="1" x14ac:dyDescent="0.3">
      <c r="A139" s="93"/>
      <c r="B139" s="86"/>
      <c r="C139" s="86"/>
      <c r="D139" s="166"/>
      <c r="E139" s="166"/>
      <c r="F139" s="93"/>
      <c r="G139" s="80"/>
      <c r="H139" s="78"/>
      <c r="I139" s="84"/>
      <c r="J139" s="84"/>
      <c r="K139" s="84"/>
      <c r="L139" s="211"/>
      <c r="M139" s="83"/>
    </row>
    <row r="140" spans="1:13" s="99" customFormat="1" ht="15" customHeight="1" x14ac:dyDescent="0.3">
      <c r="A140" s="93"/>
      <c r="B140" s="86"/>
      <c r="C140" s="86"/>
      <c r="D140" s="181"/>
      <c r="E140" s="183"/>
      <c r="F140" s="93"/>
      <c r="G140" s="192"/>
      <c r="H140" s="78"/>
      <c r="I140" s="183"/>
      <c r="J140" s="183"/>
      <c r="K140" s="183"/>
      <c r="L140" s="214"/>
      <c r="M140" s="97"/>
    </row>
    <row r="141" spans="1:13" s="6" customFormat="1" ht="15" customHeight="1" x14ac:dyDescent="0.3">
      <c r="A141" s="93"/>
      <c r="B141" s="86"/>
      <c r="C141" s="86"/>
      <c r="D141" s="103"/>
      <c r="E141" s="103"/>
      <c r="F141" s="93"/>
      <c r="G141" s="80"/>
      <c r="H141" s="78"/>
      <c r="I141" s="84"/>
      <c r="J141" s="84"/>
      <c r="K141" s="84"/>
      <c r="L141" s="211"/>
      <c r="M141" s="83"/>
    </row>
    <row r="142" spans="1:13" s="6" customFormat="1" ht="15" customHeight="1" x14ac:dyDescent="0.3">
      <c r="A142" s="93"/>
      <c r="B142" s="86"/>
      <c r="C142" s="86"/>
      <c r="D142" s="168"/>
      <c r="E142" s="168"/>
      <c r="F142" s="93"/>
      <c r="G142" s="80"/>
      <c r="H142" s="78"/>
      <c r="I142" s="84"/>
      <c r="J142" s="84"/>
      <c r="K142" s="84"/>
      <c r="L142" s="211"/>
      <c r="M142" s="83"/>
    </row>
    <row r="143" spans="1:13" s="6" customFormat="1" ht="15" customHeight="1" x14ac:dyDescent="0.3">
      <c r="A143" s="93"/>
      <c r="B143" s="86"/>
      <c r="C143" s="86"/>
      <c r="D143" s="103"/>
      <c r="E143" s="103"/>
      <c r="F143" s="93"/>
      <c r="G143" s="80"/>
      <c r="H143" s="78"/>
      <c r="I143" s="84"/>
      <c r="J143" s="84"/>
      <c r="K143" s="84"/>
      <c r="L143" s="211"/>
      <c r="M143" s="83"/>
    </row>
    <row r="144" spans="1:13" s="6" customFormat="1" ht="15" customHeight="1" x14ac:dyDescent="0.3">
      <c r="A144" s="93"/>
      <c r="B144" s="86"/>
      <c r="C144" s="86"/>
      <c r="D144" s="103"/>
      <c r="E144" s="103"/>
      <c r="F144" s="93"/>
      <c r="G144" s="80"/>
      <c r="H144" s="78"/>
      <c r="I144" s="84"/>
      <c r="J144" s="84"/>
      <c r="K144" s="84"/>
      <c r="L144" s="211"/>
      <c r="M144" s="83"/>
    </row>
    <row r="145" spans="1:13" s="6" customFormat="1" ht="15" customHeight="1" x14ac:dyDescent="0.3">
      <c r="A145" s="93"/>
      <c r="B145" s="86"/>
      <c r="C145" s="86"/>
      <c r="D145" s="103"/>
      <c r="E145" s="103"/>
      <c r="F145" s="93"/>
      <c r="G145" s="80"/>
      <c r="H145" s="78"/>
      <c r="I145" s="84"/>
      <c r="J145" s="84"/>
      <c r="K145" s="84"/>
      <c r="L145" s="211"/>
      <c r="M145" s="83"/>
    </row>
    <row r="146" spans="1:13" s="6" customFormat="1" ht="15" customHeight="1" x14ac:dyDescent="0.3">
      <c r="A146" s="93"/>
      <c r="B146" s="86"/>
      <c r="C146" s="86"/>
      <c r="D146" s="168"/>
      <c r="E146" s="168"/>
      <c r="F146" s="93"/>
      <c r="G146" s="80"/>
      <c r="H146" s="78"/>
      <c r="I146" s="84"/>
      <c r="J146" s="84"/>
      <c r="K146" s="84"/>
      <c r="L146" s="211"/>
      <c r="M146" s="83"/>
    </row>
    <row r="147" spans="1:13" s="6" customFormat="1" ht="15" customHeight="1" x14ac:dyDescent="0.3">
      <c r="A147" s="93"/>
      <c r="B147" s="86"/>
      <c r="C147" s="86"/>
      <c r="D147" s="104"/>
      <c r="E147" s="104"/>
      <c r="F147" s="93"/>
      <c r="G147" s="80"/>
      <c r="H147" s="78"/>
      <c r="I147" s="84"/>
      <c r="J147" s="84"/>
      <c r="K147" s="84"/>
      <c r="L147" s="211"/>
      <c r="M147" s="83"/>
    </row>
    <row r="148" spans="1:13" s="6" customFormat="1" ht="15" customHeight="1" x14ac:dyDescent="0.3">
      <c r="A148" s="93"/>
      <c r="B148" s="86"/>
      <c r="C148" s="86"/>
      <c r="D148" s="104"/>
      <c r="E148" s="104"/>
      <c r="F148" s="93"/>
      <c r="G148" s="80"/>
      <c r="H148" s="78"/>
      <c r="I148" s="84"/>
      <c r="J148" s="84"/>
      <c r="K148" s="84"/>
      <c r="L148" s="211"/>
      <c r="M148" s="83"/>
    </row>
    <row r="149" spans="1:13" s="6" customFormat="1" ht="15" customHeight="1" x14ac:dyDescent="0.3">
      <c r="A149" s="93"/>
      <c r="B149" s="86"/>
      <c r="C149" s="86"/>
      <c r="D149" s="168"/>
      <c r="E149" s="104"/>
      <c r="F149" s="93"/>
      <c r="G149" s="80"/>
      <c r="H149" s="78"/>
      <c r="I149" s="84"/>
      <c r="J149" s="84"/>
      <c r="K149" s="84"/>
      <c r="L149" s="211"/>
      <c r="M149" s="83"/>
    </row>
    <row r="150" spans="1:13" s="6" customFormat="1" ht="15" customHeight="1" x14ac:dyDescent="0.3">
      <c r="A150" s="93"/>
      <c r="B150" s="86"/>
      <c r="C150" s="86"/>
      <c r="D150" s="96"/>
      <c r="E150" s="96"/>
      <c r="F150" s="93"/>
      <c r="G150" s="80"/>
      <c r="H150" s="78"/>
      <c r="I150" s="84"/>
      <c r="J150" s="84"/>
      <c r="K150" s="84"/>
      <c r="L150" s="215"/>
      <c r="M150" s="83"/>
    </row>
    <row r="151" spans="1:13" s="6" customFormat="1" ht="15" customHeight="1" x14ac:dyDescent="0.3">
      <c r="A151" s="93"/>
      <c r="B151" s="86"/>
      <c r="C151" s="86"/>
      <c r="D151" s="168"/>
      <c r="E151" s="168"/>
      <c r="F151" s="93"/>
      <c r="G151" s="80"/>
      <c r="H151" s="78"/>
      <c r="I151" s="84"/>
      <c r="J151" s="84"/>
      <c r="K151" s="84"/>
      <c r="L151" s="220"/>
      <c r="M151" s="83"/>
    </row>
    <row r="152" spans="1:13" s="6" customFormat="1" ht="15" customHeight="1" x14ac:dyDescent="0.3">
      <c r="A152" s="93"/>
      <c r="B152" s="86"/>
      <c r="C152" s="86"/>
      <c r="D152" s="110"/>
      <c r="E152" s="96"/>
      <c r="F152" s="93"/>
      <c r="G152" s="80"/>
      <c r="H152" s="78"/>
      <c r="I152" s="84"/>
      <c r="J152" s="84"/>
      <c r="K152" s="84"/>
      <c r="L152" s="211"/>
      <c r="M152" s="83"/>
    </row>
    <row r="153" spans="1:13" s="6" customFormat="1" ht="15" customHeight="1" x14ac:dyDescent="0.3">
      <c r="A153" s="93"/>
      <c r="B153" s="86"/>
      <c r="C153" s="86"/>
      <c r="D153" s="107"/>
      <c r="E153" s="104"/>
      <c r="F153" s="93"/>
      <c r="G153" s="80"/>
      <c r="H153" s="78"/>
      <c r="I153" s="84"/>
      <c r="J153" s="84"/>
      <c r="K153" s="84"/>
      <c r="L153" s="211"/>
      <c r="M153" s="83"/>
    </row>
    <row r="154" spans="1:13" s="6" customFormat="1" ht="15" customHeight="1" x14ac:dyDescent="0.3">
      <c r="A154" s="93"/>
      <c r="B154" s="86"/>
      <c r="C154" s="86"/>
      <c r="D154" s="166"/>
      <c r="E154" s="173"/>
      <c r="F154" s="93"/>
      <c r="G154" s="80"/>
      <c r="H154" s="78"/>
      <c r="I154" s="84"/>
      <c r="J154" s="84"/>
      <c r="K154" s="84"/>
      <c r="L154" s="211"/>
      <c r="M154" s="83"/>
    </row>
    <row r="155" spans="1:13" s="6" customFormat="1" ht="15" customHeight="1" x14ac:dyDescent="0.3">
      <c r="A155" s="93"/>
      <c r="B155" s="86"/>
      <c r="C155" s="86"/>
      <c r="D155" s="107"/>
      <c r="E155" s="104"/>
      <c r="F155" s="93"/>
      <c r="G155" s="80"/>
      <c r="H155" s="78"/>
      <c r="I155" s="84"/>
      <c r="J155" s="84"/>
      <c r="K155" s="84"/>
      <c r="L155" s="213"/>
      <c r="M155" s="83"/>
    </row>
    <row r="156" spans="1:13" s="6" customFormat="1" ht="15" customHeight="1" x14ac:dyDescent="0.3">
      <c r="A156" s="93"/>
      <c r="B156" s="86"/>
      <c r="C156" s="86"/>
      <c r="D156" s="168"/>
      <c r="E156" s="168"/>
      <c r="F156" s="93"/>
      <c r="G156" s="80"/>
      <c r="H156" s="78"/>
      <c r="I156" s="84"/>
      <c r="J156" s="84"/>
      <c r="K156" s="84"/>
      <c r="L156" s="211"/>
      <c r="M156" s="83"/>
    </row>
    <row r="157" spans="1:13" s="6" customFormat="1" ht="15" customHeight="1" x14ac:dyDescent="0.3">
      <c r="A157" s="93"/>
      <c r="B157" s="86"/>
      <c r="C157" s="86"/>
      <c r="D157" s="104"/>
      <c r="E157" s="104"/>
      <c r="F157" s="93"/>
      <c r="G157" s="80"/>
      <c r="H157" s="78"/>
      <c r="I157" s="84"/>
      <c r="J157" s="84"/>
      <c r="K157" s="84"/>
      <c r="L157" s="211"/>
      <c r="M157" s="83"/>
    </row>
    <row r="158" spans="1:13" s="6" customFormat="1" ht="15" customHeight="1" x14ac:dyDescent="0.3">
      <c r="A158" s="93"/>
      <c r="B158" s="86"/>
      <c r="C158" s="86"/>
      <c r="D158" s="181"/>
      <c r="E158" s="183"/>
      <c r="F158" s="93"/>
      <c r="G158" s="192"/>
      <c r="H158" s="78"/>
      <c r="I158" s="183"/>
      <c r="J158" s="183"/>
      <c r="K158" s="183"/>
      <c r="L158" s="214"/>
      <c r="M158" s="83"/>
    </row>
    <row r="159" spans="1:13" s="6" customFormat="1" ht="15" customHeight="1" x14ac:dyDescent="0.3">
      <c r="A159" s="93"/>
      <c r="B159" s="86"/>
      <c r="C159" s="86"/>
      <c r="D159" s="181"/>
      <c r="E159" s="183"/>
      <c r="F159" s="93"/>
      <c r="G159" s="192"/>
      <c r="H159" s="78"/>
      <c r="I159" s="183"/>
      <c r="J159" s="183"/>
      <c r="K159" s="183"/>
      <c r="L159" s="214"/>
      <c r="M159" s="83"/>
    </row>
    <row r="160" spans="1:13" s="6" customFormat="1" ht="15" customHeight="1" x14ac:dyDescent="0.3">
      <c r="A160" s="93"/>
      <c r="B160" s="86"/>
      <c r="C160" s="86"/>
      <c r="D160" s="181"/>
      <c r="E160" s="183"/>
      <c r="F160" s="93"/>
      <c r="G160" s="192"/>
      <c r="H160" s="78"/>
      <c r="I160" s="183"/>
      <c r="J160" s="183"/>
      <c r="K160" s="183"/>
      <c r="L160" s="214"/>
      <c r="M160" s="83"/>
    </row>
    <row r="161" spans="1:13" s="6" customFormat="1" ht="15" customHeight="1" x14ac:dyDescent="0.3">
      <c r="A161" s="93"/>
      <c r="B161" s="86"/>
      <c r="C161" s="86"/>
      <c r="D161" s="187"/>
      <c r="E161" s="187"/>
      <c r="F161" s="93"/>
      <c r="G161" s="186"/>
      <c r="H161" s="78"/>
      <c r="I161" s="180"/>
      <c r="J161" s="187"/>
      <c r="K161" s="187"/>
      <c r="L161" s="212"/>
      <c r="M161" s="83"/>
    </row>
    <row r="162" spans="1:13" s="6" customFormat="1" ht="15" customHeight="1" x14ac:dyDescent="0.3">
      <c r="A162" s="93"/>
      <c r="B162" s="86"/>
      <c r="C162" s="86"/>
      <c r="D162" s="94"/>
      <c r="E162" s="96"/>
      <c r="F162" s="93"/>
      <c r="G162" s="174"/>
      <c r="H162" s="78"/>
      <c r="I162" s="175"/>
      <c r="J162" s="187"/>
      <c r="K162" s="187"/>
      <c r="L162" s="212"/>
      <c r="M162" s="83"/>
    </row>
    <row r="163" spans="1:13" s="6" customFormat="1" ht="15" customHeight="1" x14ac:dyDescent="0.3">
      <c r="A163" s="93"/>
      <c r="B163" s="86"/>
      <c r="C163" s="86"/>
      <c r="D163" s="98"/>
      <c r="E163" s="96"/>
      <c r="F163" s="93"/>
      <c r="G163" s="80"/>
      <c r="H163" s="78"/>
      <c r="I163" s="84"/>
      <c r="J163" s="84"/>
      <c r="K163" s="84"/>
      <c r="L163" s="215"/>
      <c r="M163" s="83"/>
    </row>
    <row r="164" spans="1:13" s="6" customFormat="1" ht="15" customHeight="1" x14ac:dyDescent="0.3">
      <c r="A164" s="180"/>
      <c r="B164" s="186"/>
      <c r="C164" s="86"/>
      <c r="D164" s="98"/>
      <c r="E164" s="96"/>
      <c r="F164" s="93"/>
      <c r="G164" s="174"/>
      <c r="H164" s="78"/>
      <c r="I164" s="84"/>
      <c r="J164" s="187"/>
      <c r="K164" s="187"/>
      <c r="L164" s="212"/>
      <c r="M164" s="83"/>
    </row>
    <row r="165" spans="1:13" s="6" customFormat="1" ht="15" customHeight="1" x14ac:dyDescent="0.3">
      <c r="A165" s="180"/>
      <c r="B165" s="186"/>
      <c r="C165" s="86"/>
      <c r="D165" s="96"/>
      <c r="E165" s="96"/>
      <c r="F165" s="93"/>
      <c r="G165" s="174"/>
      <c r="H165" s="78"/>
      <c r="I165" s="84"/>
      <c r="J165" s="187"/>
      <c r="K165" s="187"/>
      <c r="L165" s="212"/>
      <c r="M165" s="83"/>
    </row>
    <row r="166" spans="1:13" s="6" customFormat="1" ht="15" customHeight="1" x14ac:dyDescent="0.3">
      <c r="A166" s="180"/>
      <c r="B166" s="186"/>
      <c r="C166" s="86"/>
      <c r="D166" s="108"/>
      <c r="E166" s="96"/>
      <c r="F166" s="93"/>
      <c r="G166" s="174"/>
      <c r="H166" s="78"/>
      <c r="I166" s="84"/>
      <c r="J166" s="187"/>
      <c r="K166" s="187"/>
      <c r="L166" s="212"/>
      <c r="M166" s="83"/>
    </row>
    <row r="167" spans="1:13" s="6" customFormat="1" ht="15" customHeight="1" x14ac:dyDescent="0.3">
      <c r="A167" s="130"/>
      <c r="B167" s="138"/>
      <c r="C167" s="86"/>
      <c r="D167" s="96"/>
      <c r="E167" s="96"/>
      <c r="F167" s="93"/>
      <c r="G167" s="190"/>
      <c r="H167" s="78"/>
      <c r="I167" s="109"/>
      <c r="J167" s="179"/>
      <c r="K167" s="179"/>
      <c r="L167" s="211"/>
      <c r="M167" s="83"/>
    </row>
    <row r="168" spans="1:13" s="6" customFormat="1" ht="15" customHeight="1" x14ac:dyDescent="0.3">
      <c r="A168" s="131"/>
      <c r="B168" s="127"/>
      <c r="C168" s="86"/>
      <c r="D168" s="96"/>
      <c r="E168" s="96"/>
      <c r="F168" s="93"/>
      <c r="G168" s="190"/>
      <c r="H168" s="78"/>
      <c r="I168" s="84"/>
      <c r="J168" s="179"/>
      <c r="K168" s="179"/>
      <c r="L168" s="211"/>
      <c r="M168" s="83"/>
    </row>
    <row r="169" spans="1:13" s="6" customFormat="1" ht="15" customHeight="1" x14ac:dyDescent="0.3">
      <c r="A169" s="193"/>
      <c r="B169" s="194"/>
      <c r="C169" s="86"/>
      <c r="D169" s="108"/>
      <c r="E169" s="96"/>
      <c r="F169" s="93"/>
      <c r="G169" s="174"/>
      <c r="H169" s="78"/>
      <c r="I169" s="84"/>
      <c r="J169" s="187"/>
      <c r="K169" s="187"/>
      <c r="L169" s="212"/>
      <c r="M169" s="83"/>
    </row>
    <row r="170" spans="1:13" s="6" customFormat="1" ht="15" customHeight="1" x14ac:dyDescent="0.3">
      <c r="A170" s="130"/>
      <c r="B170" s="138"/>
      <c r="C170" s="86"/>
      <c r="D170" s="96"/>
      <c r="E170" s="96"/>
      <c r="F170" s="93"/>
      <c r="G170" s="190"/>
      <c r="H170" s="78"/>
      <c r="I170" s="84"/>
      <c r="J170" s="179"/>
      <c r="K170" s="179"/>
      <c r="L170" s="211"/>
      <c r="M170" s="83"/>
    </row>
    <row r="171" spans="1:13" s="6" customFormat="1" ht="15" customHeight="1" x14ac:dyDescent="0.3">
      <c r="A171" s="193"/>
      <c r="B171" s="194"/>
      <c r="C171" s="86"/>
      <c r="D171" s="96"/>
      <c r="E171" s="96"/>
      <c r="F171" s="93"/>
      <c r="G171" s="174"/>
      <c r="H171" s="78"/>
      <c r="I171" s="84"/>
      <c r="J171" s="187"/>
      <c r="K171" s="187"/>
      <c r="M171" s="83"/>
    </row>
    <row r="172" spans="1:13" s="6" customFormat="1" ht="15" customHeight="1" x14ac:dyDescent="0.3">
      <c r="A172" s="131"/>
      <c r="B172" s="127"/>
      <c r="C172" s="86"/>
      <c r="D172" s="108"/>
      <c r="E172" s="96"/>
      <c r="F172" s="93"/>
      <c r="G172" s="174"/>
      <c r="H172" s="78"/>
      <c r="I172" s="84"/>
      <c r="J172" s="187"/>
      <c r="K172" s="187"/>
      <c r="M172" s="83"/>
    </row>
    <row r="173" spans="1:13" s="6" customFormat="1" ht="15" customHeight="1" x14ac:dyDescent="0.3">
      <c r="A173" s="131"/>
      <c r="B173" s="127"/>
      <c r="C173" s="86"/>
      <c r="D173" s="108"/>
      <c r="E173" s="96"/>
      <c r="F173" s="93"/>
      <c r="G173" s="174"/>
      <c r="H173" s="78"/>
      <c r="I173" s="84"/>
      <c r="J173" s="187"/>
      <c r="K173" s="187"/>
      <c r="M173" s="83"/>
    </row>
    <row r="174" spans="1:13" s="6" customFormat="1" ht="15" customHeight="1" x14ac:dyDescent="0.3">
      <c r="A174" s="131"/>
      <c r="B174" s="127"/>
      <c r="C174" s="86"/>
      <c r="D174" s="96"/>
      <c r="E174" s="96"/>
      <c r="F174" s="93"/>
      <c r="G174" s="80"/>
      <c r="H174" s="78"/>
      <c r="I174" s="84"/>
      <c r="J174" s="84"/>
      <c r="K174" s="84"/>
      <c r="L174" s="211"/>
      <c r="M174" s="83"/>
    </row>
    <row r="175" spans="1:13" s="6" customFormat="1" ht="15" customHeight="1" x14ac:dyDescent="0.3">
      <c r="A175" s="132"/>
      <c r="B175" s="139"/>
      <c r="C175" s="86"/>
      <c r="D175" s="96"/>
      <c r="E175" s="96"/>
      <c r="F175" s="93"/>
      <c r="G175" s="80"/>
      <c r="H175" s="78"/>
      <c r="I175" s="84"/>
      <c r="J175" s="84"/>
      <c r="K175" s="84"/>
      <c r="L175" s="211"/>
      <c r="M175" s="83"/>
    </row>
    <row r="176" spans="1:13" s="6" customFormat="1" ht="15" customHeight="1" x14ac:dyDescent="0.3">
      <c r="A176" s="132"/>
      <c r="B176" s="139"/>
      <c r="C176" s="86"/>
      <c r="D176" s="96"/>
      <c r="E176" s="96"/>
      <c r="F176" s="93"/>
      <c r="G176" s="80"/>
      <c r="H176" s="78"/>
      <c r="I176" s="84"/>
      <c r="J176" s="84"/>
      <c r="K176" s="84"/>
      <c r="L176" s="211"/>
      <c r="M176" s="83"/>
    </row>
    <row r="177" spans="1:13" s="6" customFormat="1" ht="15" customHeight="1" x14ac:dyDescent="0.3">
      <c r="A177" s="131"/>
      <c r="B177" s="127"/>
      <c r="C177" s="86"/>
      <c r="D177" s="96"/>
      <c r="E177" s="96"/>
      <c r="F177" s="93"/>
      <c r="G177" s="80"/>
      <c r="H177" s="78"/>
      <c r="I177" s="84"/>
      <c r="J177" s="84"/>
      <c r="K177" s="84"/>
      <c r="L177" s="211"/>
      <c r="M177" s="83"/>
    </row>
    <row r="178" spans="1:13" s="6" customFormat="1" ht="15" customHeight="1" x14ac:dyDescent="0.3">
      <c r="A178" s="131"/>
      <c r="B178" s="127"/>
      <c r="C178" s="86"/>
      <c r="D178" s="96"/>
      <c r="E178" s="96"/>
      <c r="F178" s="93"/>
      <c r="G178" s="80"/>
      <c r="H178" s="78"/>
      <c r="I178" s="84"/>
      <c r="J178" s="84"/>
      <c r="K178" s="84"/>
      <c r="L178" s="211"/>
      <c r="M178" s="83"/>
    </row>
    <row r="179" spans="1:13" s="6" customFormat="1" ht="15" customHeight="1" x14ac:dyDescent="0.3">
      <c r="A179" s="131"/>
      <c r="B179" s="127"/>
      <c r="C179" s="86"/>
      <c r="D179" s="96"/>
      <c r="E179" s="96"/>
      <c r="F179" s="93"/>
      <c r="G179" s="80"/>
      <c r="H179" s="78"/>
      <c r="I179" s="84"/>
      <c r="J179" s="84"/>
      <c r="K179" s="84"/>
      <c r="L179" s="211"/>
      <c r="M179" s="83"/>
    </row>
    <row r="180" spans="1:13" s="6" customFormat="1" ht="15" customHeight="1" x14ac:dyDescent="0.3">
      <c r="A180" s="131"/>
      <c r="B180" s="127"/>
      <c r="C180" s="86"/>
      <c r="D180" s="96"/>
      <c r="E180" s="96"/>
      <c r="F180" s="93"/>
      <c r="G180" s="80"/>
      <c r="H180" s="78"/>
      <c r="I180" s="84"/>
      <c r="J180" s="84"/>
      <c r="K180" s="84"/>
      <c r="L180" s="211"/>
      <c r="M180" s="83"/>
    </row>
    <row r="181" spans="1:13" s="6" customFormat="1" ht="15" customHeight="1" x14ac:dyDescent="0.3">
      <c r="A181" s="131"/>
      <c r="B181" s="127"/>
      <c r="C181" s="86"/>
      <c r="D181" s="104"/>
      <c r="E181" s="104"/>
      <c r="F181" s="93"/>
      <c r="G181" s="80"/>
      <c r="H181" s="78"/>
      <c r="I181" s="84"/>
      <c r="J181" s="84"/>
      <c r="K181" s="84"/>
      <c r="L181" s="211"/>
      <c r="M181" s="83"/>
    </row>
    <row r="182" spans="1:13" s="6" customFormat="1" ht="15" customHeight="1" x14ac:dyDescent="0.3">
      <c r="A182" s="131"/>
      <c r="B182" s="127"/>
      <c r="C182" s="86"/>
      <c r="D182" s="96"/>
      <c r="E182" s="96"/>
      <c r="F182" s="93"/>
      <c r="G182" s="80"/>
      <c r="H182" s="78"/>
      <c r="I182" s="84"/>
      <c r="J182" s="84"/>
      <c r="K182" s="84"/>
      <c r="L182" s="211"/>
      <c r="M182" s="83"/>
    </row>
    <row r="183" spans="1:13" s="6" customFormat="1" ht="15" customHeight="1" x14ac:dyDescent="0.3">
      <c r="A183" s="131"/>
      <c r="B183" s="127"/>
      <c r="C183" s="86"/>
      <c r="D183" s="96"/>
      <c r="E183" s="96"/>
      <c r="F183" s="93"/>
      <c r="G183" s="80"/>
      <c r="H183" s="78"/>
      <c r="I183" s="175"/>
      <c r="J183" s="84"/>
      <c r="K183" s="84"/>
      <c r="L183" s="211"/>
      <c r="M183" s="83"/>
    </row>
    <row r="184" spans="1:13" s="6" customFormat="1" ht="15" customHeight="1" x14ac:dyDescent="0.3">
      <c r="A184" s="131"/>
      <c r="B184" s="127"/>
      <c r="C184" s="86"/>
      <c r="D184" s="110"/>
      <c r="E184" s="96"/>
      <c r="F184" s="93"/>
      <c r="G184" s="80"/>
      <c r="H184" s="78"/>
      <c r="I184" s="84"/>
      <c r="J184" s="84"/>
      <c r="K184" s="84"/>
      <c r="L184" s="211"/>
      <c r="M184" s="83"/>
    </row>
    <row r="185" spans="1:13" s="6" customFormat="1" ht="15" customHeight="1" x14ac:dyDescent="0.3">
      <c r="A185" s="131"/>
      <c r="B185" s="127"/>
      <c r="C185" s="86"/>
      <c r="D185" s="111"/>
      <c r="E185" s="111"/>
      <c r="F185" s="93"/>
      <c r="G185" s="80"/>
      <c r="H185" s="78"/>
      <c r="I185" s="84"/>
      <c r="J185" s="84"/>
      <c r="K185" s="84"/>
      <c r="L185" s="211"/>
      <c r="M185" s="83"/>
    </row>
    <row r="186" spans="1:13" s="6" customFormat="1" ht="15" customHeight="1" x14ac:dyDescent="0.3">
      <c r="A186" s="133"/>
      <c r="B186" s="143"/>
      <c r="C186" s="86"/>
      <c r="D186" s="112"/>
      <c r="E186" s="112"/>
      <c r="F186" s="93"/>
      <c r="G186" s="80"/>
      <c r="H186" s="78"/>
      <c r="I186" s="84"/>
      <c r="J186" s="84"/>
      <c r="K186" s="84"/>
      <c r="L186" s="211"/>
      <c r="M186" s="83"/>
    </row>
    <row r="187" spans="1:13" s="6" customFormat="1" ht="15" customHeight="1" x14ac:dyDescent="0.3">
      <c r="A187" s="131"/>
      <c r="B187" s="127"/>
      <c r="C187" s="86"/>
      <c r="D187" s="112"/>
      <c r="E187" s="112"/>
      <c r="F187" s="93"/>
      <c r="G187" s="80"/>
      <c r="H187" s="78"/>
      <c r="I187" s="84"/>
      <c r="J187" s="84"/>
      <c r="K187" s="84"/>
      <c r="L187" s="211"/>
      <c r="M187" s="83"/>
    </row>
    <row r="188" spans="1:13" s="6" customFormat="1" ht="15" customHeight="1" x14ac:dyDescent="0.3">
      <c r="A188" s="131"/>
      <c r="B188" s="127"/>
      <c r="C188" s="86"/>
      <c r="D188" s="112"/>
      <c r="E188" s="112"/>
      <c r="F188" s="93"/>
      <c r="G188" s="80"/>
      <c r="H188" s="78"/>
      <c r="I188" s="84"/>
      <c r="J188" s="84"/>
      <c r="K188" s="84"/>
      <c r="L188" s="211"/>
      <c r="M188" s="83"/>
    </row>
    <row r="189" spans="1:13" s="6" customFormat="1" ht="15" customHeight="1" x14ac:dyDescent="0.3">
      <c r="A189" s="131"/>
      <c r="B189" s="127"/>
      <c r="C189" s="86"/>
      <c r="D189" s="112"/>
      <c r="E189" s="112"/>
      <c r="F189" s="93"/>
      <c r="G189" s="80"/>
      <c r="H189" s="78"/>
      <c r="I189" s="84"/>
      <c r="J189" s="84"/>
      <c r="K189" s="84"/>
      <c r="L189" s="211"/>
      <c r="M189" s="83"/>
    </row>
    <row r="190" spans="1:13" s="6" customFormat="1" ht="15" customHeight="1" x14ac:dyDescent="0.3">
      <c r="A190" s="131"/>
      <c r="B190" s="127"/>
      <c r="C190" s="86"/>
      <c r="D190" s="112"/>
      <c r="E190" s="112"/>
      <c r="F190" s="93"/>
      <c r="G190" s="80"/>
      <c r="H190" s="78"/>
      <c r="I190" s="84"/>
      <c r="J190" s="84"/>
      <c r="K190" s="84"/>
      <c r="L190" s="211"/>
      <c r="M190" s="83"/>
    </row>
    <row r="191" spans="1:13" s="6" customFormat="1" ht="15" customHeight="1" x14ac:dyDescent="0.3">
      <c r="A191" s="131"/>
      <c r="B191" s="127"/>
      <c r="C191" s="86"/>
      <c r="D191" s="112"/>
      <c r="E191" s="112"/>
      <c r="F191" s="93"/>
      <c r="G191" s="80"/>
      <c r="H191" s="78"/>
      <c r="I191" s="84"/>
      <c r="J191" s="84"/>
      <c r="K191" s="84"/>
      <c r="L191" s="211"/>
      <c r="M191" s="83"/>
    </row>
    <row r="192" spans="1:13" s="6" customFormat="1" ht="15" customHeight="1" x14ac:dyDescent="0.3">
      <c r="A192" s="131"/>
      <c r="B192" s="127"/>
      <c r="C192" s="86"/>
      <c r="D192" s="112"/>
      <c r="E192" s="112"/>
      <c r="F192" s="93"/>
      <c r="G192" s="80"/>
      <c r="H192" s="78"/>
      <c r="I192" s="84"/>
      <c r="J192" s="84"/>
      <c r="K192" s="84"/>
      <c r="L192" s="211"/>
      <c r="M192" s="83"/>
    </row>
    <row r="193" spans="1:13" s="6" customFormat="1" ht="15" customHeight="1" x14ac:dyDescent="0.3">
      <c r="A193" s="131"/>
      <c r="B193" s="127"/>
      <c r="C193" s="86"/>
      <c r="D193" s="112"/>
      <c r="E193" s="112"/>
      <c r="F193" s="93"/>
      <c r="G193" s="80"/>
      <c r="H193" s="78"/>
      <c r="I193" s="84"/>
      <c r="J193" s="84"/>
      <c r="K193" s="84"/>
      <c r="L193" s="211"/>
      <c r="M193" s="83"/>
    </row>
    <row r="194" spans="1:13" s="6" customFormat="1" ht="15" customHeight="1" x14ac:dyDescent="0.3">
      <c r="A194" s="131"/>
      <c r="B194" s="127"/>
      <c r="C194" s="86"/>
      <c r="D194" s="112"/>
      <c r="E194" s="112"/>
      <c r="F194" s="93"/>
      <c r="G194" s="80"/>
      <c r="H194" s="78"/>
      <c r="I194" s="84"/>
      <c r="J194" s="84"/>
      <c r="K194" s="84"/>
      <c r="L194" s="211"/>
      <c r="M194" s="83"/>
    </row>
    <row r="195" spans="1:13" s="6" customFormat="1" ht="15" customHeight="1" x14ac:dyDescent="0.3">
      <c r="A195" s="131"/>
      <c r="B195" s="127"/>
      <c r="C195" s="86"/>
      <c r="D195" s="112"/>
      <c r="E195" s="112"/>
      <c r="F195" s="93"/>
      <c r="G195" s="80"/>
      <c r="H195" s="78"/>
      <c r="I195" s="84"/>
      <c r="J195" s="84"/>
      <c r="K195" s="84"/>
      <c r="L195" s="211"/>
      <c r="M195" s="83"/>
    </row>
    <row r="196" spans="1:13" s="6" customFormat="1" ht="15" customHeight="1" x14ac:dyDescent="0.3">
      <c r="A196" s="131"/>
      <c r="B196" s="127"/>
      <c r="C196" s="86"/>
      <c r="D196" s="112"/>
      <c r="E196" s="112"/>
      <c r="F196" s="93"/>
      <c r="G196" s="80"/>
      <c r="H196" s="78"/>
      <c r="I196" s="84"/>
      <c r="J196" s="84"/>
      <c r="K196" s="84"/>
      <c r="L196" s="211"/>
      <c r="M196" s="83"/>
    </row>
    <row r="197" spans="1:13" s="6" customFormat="1" ht="15" customHeight="1" x14ac:dyDescent="0.3">
      <c r="A197" s="131"/>
      <c r="B197" s="127"/>
      <c r="C197" s="86"/>
      <c r="D197" s="111"/>
      <c r="E197" s="111"/>
      <c r="F197" s="93"/>
      <c r="G197" s="80"/>
      <c r="H197" s="78"/>
      <c r="I197" s="84"/>
      <c r="J197" s="84"/>
      <c r="K197" s="84"/>
      <c r="L197" s="211"/>
      <c r="M197" s="83"/>
    </row>
    <row r="198" spans="1:13" s="6" customFormat="1" ht="15" customHeight="1" x14ac:dyDescent="0.3">
      <c r="A198" s="131"/>
      <c r="B198" s="127"/>
      <c r="C198" s="86"/>
      <c r="D198" s="111"/>
      <c r="E198" s="111"/>
      <c r="F198" s="93"/>
      <c r="G198" s="80"/>
      <c r="H198" s="78"/>
      <c r="I198" s="84"/>
      <c r="J198" s="84"/>
      <c r="K198" s="84"/>
      <c r="L198" s="211"/>
      <c r="M198" s="83"/>
    </row>
    <row r="199" spans="1:13" s="6" customFormat="1" ht="15" customHeight="1" x14ac:dyDescent="0.3">
      <c r="A199" s="131"/>
      <c r="B199" s="127"/>
      <c r="C199" s="86"/>
      <c r="D199" s="112"/>
      <c r="E199" s="107"/>
      <c r="F199" s="93"/>
      <c r="G199" s="80"/>
      <c r="H199" s="78"/>
      <c r="I199" s="84"/>
      <c r="J199" s="84"/>
      <c r="K199" s="84"/>
      <c r="L199" s="211"/>
      <c r="M199" s="83"/>
    </row>
    <row r="200" spans="1:13" s="6" customFormat="1" ht="15" customHeight="1" x14ac:dyDescent="0.3">
      <c r="A200" s="131"/>
      <c r="B200" s="127"/>
      <c r="C200" s="86"/>
      <c r="D200" s="110"/>
      <c r="E200" s="96"/>
      <c r="F200" s="93"/>
      <c r="G200" s="80"/>
      <c r="H200" s="78"/>
      <c r="I200" s="84"/>
      <c r="J200" s="84"/>
      <c r="K200" s="84"/>
      <c r="L200" s="211"/>
      <c r="M200" s="83"/>
    </row>
    <row r="201" spans="1:13" s="6" customFormat="1" ht="15" customHeight="1" x14ac:dyDescent="0.3">
      <c r="A201" s="131"/>
      <c r="B201" s="127"/>
      <c r="C201" s="86"/>
      <c r="D201" s="96"/>
      <c r="E201" s="96"/>
      <c r="F201" s="93"/>
      <c r="G201" s="80"/>
      <c r="H201" s="78"/>
      <c r="I201" s="84"/>
      <c r="J201" s="84"/>
      <c r="K201" s="84"/>
      <c r="L201" s="211"/>
      <c r="M201" s="83"/>
    </row>
    <row r="202" spans="1:13" s="6" customFormat="1" ht="15" customHeight="1" x14ac:dyDescent="0.3">
      <c r="A202" s="131"/>
      <c r="B202" s="127"/>
      <c r="C202" s="86"/>
      <c r="D202" s="104"/>
      <c r="E202" s="104"/>
      <c r="F202" s="93"/>
      <c r="G202" s="80"/>
      <c r="H202" s="78"/>
      <c r="I202" s="175"/>
      <c r="J202" s="84"/>
      <c r="K202" s="84"/>
      <c r="L202" s="211"/>
      <c r="M202" s="83"/>
    </row>
    <row r="203" spans="1:13" s="6" customFormat="1" ht="15" customHeight="1" x14ac:dyDescent="0.3">
      <c r="A203" s="180"/>
      <c r="B203" s="186"/>
      <c r="C203" s="86"/>
      <c r="D203" s="187"/>
      <c r="E203" s="187"/>
      <c r="F203" s="93"/>
      <c r="G203" s="186"/>
      <c r="H203" s="78"/>
      <c r="I203" s="180"/>
      <c r="J203" s="187"/>
      <c r="K203" s="187"/>
      <c r="L203" s="212"/>
      <c r="M203" s="83"/>
    </row>
    <row r="204" spans="1:13" s="6" customFormat="1" ht="15" customHeight="1" x14ac:dyDescent="0.3">
      <c r="A204" s="93"/>
      <c r="B204" s="86"/>
      <c r="C204" s="86"/>
      <c r="D204" s="168"/>
      <c r="E204" s="166"/>
      <c r="F204" s="93"/>
      <c r="G204" s="190"/>
      <c r="H204" s="78"/>
      <c r="I204" s="84"/>
      <c r="J204" s="179"/>
      <c r="K204" s="179"/>
      <c r="L204" s="209"/>
      <c r="M204" s="83"/>
    </row>
    <row r="205" spans="1:13" s="6" customFormat="1" ht="15" customHeight="1" x14ac:dyDescent="0.3">
      <c r="A205" s="134"/>
      <c r="B205" s="140"/>
      <c r="C205" s="86"/>
      <c r="D205" s="168"/>
      <c r="E205" s="166"/>
      <c r="F205" s="93"/>
      <c r="G205" s="89"/>
      <c r="H205" s="78"/>
      <c r="I205" s="84"/>
      <c r="J205" s="179"/>
      <c r="K205" s="179"/>
      <c r="L205" s="211"/>
      <c r="M205" s="83"/>
    </row>
    <row r="206" spans="1:13" s="6" customFormat="1" ht="15" customHeight="1" x14ac:dyDescent="0.3">
      <c r="A206" s="131"/>
      <c r="B206" s="127"/>
      <c r="C206" s="86"/>
      <c r="D206" s="168"/>
      <c r="E206" s="168"/>
      <c r="F206" s="93"/>
      <c r="G206" s="80"/>
      <c r="H206" s="78"/>
      <c r="I206" s="84"/>
      <c r="J206" s="84"/>
      <c r="K206" s="84"/>
      <c r="L206" s="215"/>
      <c r="M206" s="83"/>
    </row>
    <row r="207" spans="1:13" s="6" customFormat="1" ht="15" customHeight="1" x14ac:dyDescent="0.3">
      <c r="A207" s="135"/>
      <c r="B207" s="141"/>
      <c r="C207" s="86"/>
      <c r="D207" s="168"/>
      <c r="E207" s="168"/>
      <c r="F207" s="93"/>
      <c r="G207" s="190"/>
      <c r="H207" s="78"/>
      <c r="I207" s="84"/>
      <c r="J207" s="179"/>
      <c r="K207" s="179"/>
      <c r="L207" s="211"/>
      <c r="M207" s="83"/>
    </row>
    <row r="208" spans="1:13" s="6" customFormat="1" ht="15" customHeight="1" x14ac:dyDescent="0.3">
      <c r="A208" s="134"/>
      <c r="B208" s="140"/>
      <c r="C208" s="86"/>
      <c r="D208" s="105"/>
      <c r="E208" s="113"/>
      <c r="F208" s="93"/>
      <c r="G208" s="89"/>
      <c r="H208" s="78"/>
      <c r="I208" s="84"/>
      <c r="J208" s="179"/>
      <c r="K208" s="179"/>
      <c r="L208" s="211"/>
      <c r="M208" s="83"/>
    </row>
    <row r="209" spans="1:13" s="6" customFormat="1" ht="15" customHeight="1" x14ac:dyDescent="0.3">
      <c r="A209" s="93"/>
      <c r="B209" s="86"/>
      <c r="C209" s="86"/>
      <c r="D209" s="104"/>
      <c r="E209" s="104"/>
      <c r="F209" s="93"/>
      <c r="G209" s="190"/>
      <c r="H209" s="78"/>
      <c r="I209" s="84"/>
      <c r="J209" s="179"/>
      <c r="K209" s="179"/>
      <c r="L209" s="211"/>
      <c r="M209" s="83"/>
    </row>
    <row r="210" spans="1:13" s="6" customFormat="1" ht="15" customHeight="1" x14ac:dyDescent="0.3">
      <c r="A210" s="93"/>
      <c r="B210" s="86"/>
      <c r="C210" s="86"/>
      <c r="D210" s="104"/>
      <c r="E210" s="104"/>
      <c r="F210" s="93"/>
      <c r="G210" s="190"/>
      <c r="H210" s="78"/>
      <c r="I210" s="84"/>
      <c r="J210" s="179"/>
      <c r="K210" s="179"/>
      <c r="L210" s="211"/>
      <c r="M210" s="83"/>
    </row>
    <row r="211" spans="1:13" s="6" customFormat="1" ht="15" customHeight="1" x14ac:dyDescent="0.3">
      <c r="A211" s="93"/>
      <c r="B211" s="86"/>
      <c r="C211" s="86"/>
      <c r="D211" s="104"/>
      <c r="E211" s="104"/>
      <c r="F211" s="93"/>
      <c r="G211" s="80"/>
      <c r="H211" s="78"/>
      <c r="I211" s="84"/>
      <c r="J211" s="179"/>
      <c r="K211" s="179"/>
      <c r="L211" s="211"/>
      <c r="M211" s="83"/>
    </row>
    <row r="212" spans="1:13" s="6" customFormat="1" ht="15" customHeight="1" x14ac:dyDescent="0.3">
      <c r="A212" s="136"/>
      <c r="B212" s="142"/>
      <c r="C212" s="86"/>
      <c r="D212" s="105"/>
      <c r="E212" s="105"/>
      <c r="F212" s="93"/>
      <c r="G212" s="89"/>
      <c r="H212" s="78"/>
      <c r="I212" s="84"/>
      <c r="J212" s="179"/>
      <c r="K212" s="179"/>
      <c r="L212" s="211"/>
      <c r="M212" s="83"/>
    </row>
    <row r="213" spans="1:13" s="6" customFormat="1" ht="15" customHeight="1" x14ac:dyDescent="0.3">
      <c r="A213" s="180"/>
      <c r="B213" s="186"/>
      <c r="C213" s="86"/>
      <c r="D213" s="100"/>
      <c r="E213" s="100"/>
      <c r="F213" s="93"/>
      <c r="G213" s="186"/>
      <c r="H213" s="78"/>
      <c r="I213" s="180"/>
      <c r="J213" s="187"/>
      <c r="K213" s="100"/>
      <c r="L213" s="221"/>
      <c r="M213" s="83"/>
    </row>
    <row r="214" spans="1:13" s="6" customFormat="1" ht="15" customHeight="1" x14ac:dyDescent="0.3">
      <c r="A214" s="195"/>
      <c r="B214" s="196"/>
      <c r="C214" s="86"/>
      <c r="D214" s="104"/>
      <c r="E214" s="104"/>
      <c r="F214" s="93"/>
      <c r="G214" s="174"/>
      <c r="H214" s="78"/>
      <c r="I214" s="84"/>
      <c r="J214" s="187"/>
      <c r="K214" s="100"/>
      <c r="L214" s="221"/>
      <c r="M214" s="83"/>
    </row>
    <row r="215" spans="1:13" s="6" customFormat="1" ht="15" customHeight="1" x14ac:dyDescent="0.3">
      <c r="A215" s="195"/>
      <c r="B215" s="196"/>
      <c r="C215" s="86"/>
      <c r="D215" s="104"/>
      <c r="E215" s="104"/>
      <c r="F215" s="93"/>
      <c r="G215" s="80"/>
      <c r="H215" s="78"/>
      <c r="I215" s="84"/>
      <c r="J215" s="84"/>
      <c r="K215" s="84"/>
      <c r="L215" s="226"/>
      <c r="M215" s="83"/>
    </row>
    <row r="216" spans="1:13" s="6" customFormat="1" ht="15" customHeight="1" x14ac:dyDescent="0.3">
      <c r="A216" s="195"/>
      <c r="B216" s="196"/>
      <c r="C216" s="86"/>
      <c r="D216" s="104"/>
      <c r="E216" s="191"/>
      <c r="F216" s="93"/>
      <c r="G216" s="80"/>
      <c r="H216" s="78"/>
      <c r="I216" s="84"/>
      <c r="J216" s="84"/>
      <c r="K216" s="84"/>
      <c r="L216" s="226"/>
      <c r="M216" s="83"/>
    </row>
    <row r="217" spans="1:13" s="6" customFormat="1" ht="15" customHeight="1" x14ac:dyDescent="0.3">
      <c r="A217" s="195"/>
      <c r="B217" s="196"/>
      <c r="C217" s="86"/>
      <c r="D217" s="104"/>
      <c r="E217" s="191"/>
      <c r="F217" s="93"/>
      <c r="G217" s="80"/>
      <c r="H217" s="78"/>
      <c r="I217" s="84"/>
      <c r="J217" s="84"/>
      <c r="K217" s="84"/>
      <c r="L217" s="226"/>
      <c r="M217" s="83"/>
    </row>
    <row r="218" spans="1:13" s="6" customFormat="1" ht="15" customHeight="1" x14ac:dyDescent="0.3">
      <c r="A218" s="195"/>
      <c r="B218" s="196"/>
      <c r="C218" s="86"/>
      <c r="D218" s="104"/>
      <c r="E218" s="191"/>
      <c r="F218" s="93"/>
      <c r="G218" s="80"/>
      <c r="H218" s="78"/>
      <c r="I218" s="84"/>
      <c r="J218" s="84"/>
      <c r="K218" s="84"/>
      <c r="L218" s="211"/>
      <c r="M218" s="83"/>
    </row>
    <row r="219" spans="1:13" s="6" customFormat="1" ht="15" customHeight="1" x14ac:dyDescent="0.3">
      <c r="A219" s="195"/>
      <c r="B219" s="196"/>
      <c r="C219" s="86"/>
      <c r="D219" s="191"/>
      <c r="E219" s="191"/>
      <c r="F219" s="93"/>
      <c r="G219" s="80"/>
      <c r="H219" s="78"/>
      <c r="I219" s="84"/>
      <c r="J219" s="84"/>
      <c r="K219" s="84"/>
      <c r="L219" s="211"/>
      <c r="M219" s="83"/>
    </row>
    <row r="220" spans="1:13" s="6" customFormat="1" ht="15" customHeight="1" x14ac:dyDescent="0.3">
      <c r="A220" s="195"/>
      <c r="B220" s="196"/>
      <c r="C220" s="86"/>
      <c r="D220" s="104"/>
      <c r="E220" s="104"/>
      <c r="F220" s="93"/>
      <c r="G220" s="80"/>
      <c r="H220" s="78"/>
      <c r="I220" s="84"/>
      <c r="J220" s="84"/>
      <c r="K220" s="84"/>
      <c r="L220" s="211"/>
      <c r="M220" s="83"/>
    </row>
    <row r="221" spans="1:13" s="6" customFormat="1" ht="15" customHeight="1" x14ac:dyDescent="0.3">
      <c r="A221" s="195"/>
      <c r="B221" s="196"/>
      <c r="C221" s="86"/>
      <c r="D221" s="104"/>
      <c r="E221" s="104"/>
      <c r="F221" s="93"/>
      <c r="G221" s="80"/>
      <c r="H221" s="78"/>
      <c r="I221" s="84"/>
      <c r="J221" s="84"/>
      <c r="K221" s="84"/>
      <c r="L221" s="211"/>
      <c r="M221" s="83"/>
    </row>
    <row r="222" spans="1:13" s="6" customFormat="1" ht="15" customHeight="1" x14ac:dyDescent="0.3">
      <c r="A222" s="195"/>
      <c r="B222" s="196"/>
      <c r="C222" s="86"/>
      <c r="D222" s="104"/>
      <c r="E222" s="104"/>
      <c r="F222" s="93"/>
      <c r="G222" s="80"/>
      <c r="H222" s="78"/>
      <c r="I222" s="84"/>
      <c r="J222" s="84"/>
      <c r="K222" s="84"/>
      <c r="L222" s="211"/>
      <c r="M222" s="83"/>
    </row>
    <row r="223" spans="1:13" s="6" customFormat="1" ht="15" customHeight="1" x14ac:dyDescent="0.3">
      <c r="A223" s="195"/>
      <c r="B223" s="196"/>
      <c r="C223" s="86"/>
      <c r="D223" s="104"/>
      <c r="E223" s="104"/>
      <c r="F223" s="93"/>
      <c r="G223" s="80"/>
      <c r="H223" s="78"/>
      <c r="I223" s="84"/>
      <c r="J223" s="84"/>
      <c r="K223" s="84"/>
      <c r="L223" s="211"/>
      <c r="M223" s="83"/>
    </row>
    <row r="224" spans="1:13" s="6" customFormat="1" ht="15" customHeight="1" x14ac:dyDescent="0.3">
      <c r="A224" s="195"/>
      <c r="B224" s="196"/>
      <c r="C224" s="86"/>
      <c r="D224" s="104"/>
      <c r="E224" s="191"/>
      <c r="F224" s="93"/>
      <c r="G224" s="80"/>
      <c r="H224" s="78"/>
      <c r="I224" s="84"/>
      <c r="J224" s="84"/>
      <c r="K224" s="84"/>
      <c r="L224" s="211"/>
      <c r="M224" s="83"/>
    </row>
    <row r="225" spans="1:13" s="6" customFormat="1" ht="15" customHeight="1" x14ac:dyDescent="0.3">
      <c r="A225" s="195"/>
      <c r="B225" s="196"/>
      <c r="C225" s="86"/>
      <c r="D225" s="104"/>
      <c r="E225" s="104"/>
      <c r="F225" s="93"/>
      <c r="G225" s="80"/>
      <c r="H225" s="78"/>
      <c r="I225" s="84"/>
      <c r="J225" s="84"/>
      <c r="K225" s="84"/>
      <c r="L225" s="211"/>
      <c r="M225" s="83"/>
    </row>
    <row r="226" spans="1:13" s="6" customFormat="1" ht="15" customHeight="1" x14ac:dyDescent="0.3">
      <c r="A226" s="195"/>
      <c r="B226" s="196"/>
      <c r="C226" s="86"/>
      <c r="D226" s="104"/>
      <c r="E226" s="104"/>
      <c r="F226" s="93"/>
      <c r="G226" s="80"/>
      <c r="H226" s="78"/>
      <c r="I226" s="84"/>
      <c r="J226" s="84"/>
      <c r="K226" s="84"/>
      <c r="L226" s="211"/>
      <c r="M226" s="83"/>
    </row>
    <row r="227" spans="1:13" s="6" customFormat="1" ht="15" customHeight="1" x14ac:dyDescent="0.3">
      <c r="A227" s="195"/>
      <c r="B227" s="196"/>
      <c r="C227" s="86"/>
      <c r="D227" s="191"/>
      <c r="E227" s="191"/>
      <c r="F227" s="93"/>
      <c r="G227" s="80"/>
      <c r="H227" s="78"/>
      <c r="I227" s="84"/>
      <c r="J227" s="84"/>
      <c r="K227" s="84"/>
      <c r="L227" s="211"/>
      <c r="M227" s="83"/>
    </row>
    <row r="228" spans="1:13" s="99" customFormat="1" ht="15" customHeight="1" x14ac:dyDescent="0.3">
      <c r="A228" s="136"/>
      <c r="B228" s="142"/>
      <c r="C228" s="86"/>
      <c r="D228" s="191"/>
      <c r="E228" s="191"/>
      <c r="F228" s="93"/>
      <c r="G228" s="89"/>
      <c r="H228" s="78"/>
      <c r="I228" s="113"/>
      <c r="J228" s="113"/>
      <c r="K228" s="113"/>
      <c r="L228" s="225"/>
      <c r="M228" s="97"/>
    </row>
    <row r="229" spans="1:13" s="6" customFormat="1" ht="15" customHeight="1" x14ac:dyDescent="0.3">
      <c r="A229" s="132"/>
      <c r="B229" s="139"/>
      <c r="C229" s="86"/>
      <c r="D229" s="84"/>
      <c r="E229" s="84"/>
      <c r="F229" s="93"/>
      <c r="G229" s="190"/>
      <c r="H229" s="78"/>
      <c r="I229" s="179"/>
      <c r="J229" s="179"/>
      <c r="K229" s="179"/>
      <c r="L229" s="211"/>
      <c r="M229" s="83"/>
    </row>
    <row r="230" spans="1:13" s="6" customFormat="1" ht="15" customHeight="1" x14ac:dyDescent="0.3">
      <c r="A230" s="132"/>
      <c r="B230" s="139"/>
      <c r="C230" s="86"/>
      <c r="D230" s="84"/>
      <c r="E230" s="84"/>
      <c r="F230" s="93"/>
      <c r="G230" s="190"/>
      <c r="H230" s="78"/>
      <c r="I230" s="179"/>
      <c r="J230" s="179"/>
      <c r="K230" s="179"/>
      <c r="L230" s="211"/>
      <c r="M230" s="83"/>
    </row>
    <row r="231" spans="1:13" s="6" customFormat="1" ht="15" customHeight="1" x14ac:dyDescent="0.3">
      <c r="A231" s="132"/>
      <c r="B231" s="139"/>
      <c r="C231" s="86"/>
      <c r="D231" s="84"/>
      <c r="E231" s="84"/>
      <c r="F231" s="93"/>
      <c r="G231" s="190"/>
      <c r="H231" s="78"/>
      <c r="I231" s="179"/>
      <c r="J231" s="179"/>
      <c r="K231" s="179"/>
      <c r="L231" s="211"/>
      <c r="M231" s="83"/>
    </row>
    <row r="232" spans="1:13" s="6" customFormat="1" ht="15" customHeight="1" x14ac:dyDescent="0.3">
      <c r="A232" s="132"/>
      <c r="B232" s="139"/>
      <c r="C232" s="86"/>
      <c r="D232" s="84"/>
      <c r="E232" s="84"/>
      <c r="F232" s="93"/>
      <c r="G232" s="190"/>
      <c r="H232" s="78"/>
      <c r="I232" s="179"/>
      <c r="J232" s="179"/>
      <c r="K232" s="179"/>
      <c r="L232" s="211"/>
      <c r="M232" s="83"/>
    </row>
    <row r="233" spans="1:13" s="6" customFormat="1" ht="15" customHeight="1" x14ac:dyDescent="0.3">
      <c r="A233" s="132"/>
      <c r="B233" s="139"/>
      <c r="C233" s="86"/>
      <c r="D233" s="84"/>
      <c r="E233" s="84"/>
      <c r="F233" s="93"/>
      <c r="G233" s="190"/>
      <c r="H233" s="78"/>
      <c r="I233" s="179"/>
      <c r="J233" s="179"/>
      <c r="K233" s="179"/>
      <c r="L233" s="211"/>
      <c r="M233" s="83"/>
    </row>
    <row r="234" spans="1:13" s="6" customFormat="1" ht="15" customHeight="1" x14ac:dyDescent="0.3">
      <c r="A234" s="132"/>
      <c r="B234" s="139"/>
      <c r="C234" s="86"/>
      <c r="D234" s="84"/>
      <c r="E234" s="84"/>
      <c r="F234" s="93"/>
      <c r="G234" s="190"/>
      <c r="H234" s="78"/>
      <c r="I234" s="179"/>
      <c r="J234" s="179"/>
      <c r="K234" s="179"/>
      <c r="L234" s="211"/>
      <c r="M234" s="83"/>
    </row>
    <row r="235" spans="1:13" s="6" customFormat="1" ht="15" customHeight="1" x14ac:dyDescent="0.3">
      <c r="A235" s="132"/>
      <c r="B235" s="139"/>
      <c r="C235" s="86"/>
      <c r="D235" s="147"/>
      <c r="E235" s="147"/>
      <c r="F235" s="93"/>
      <c r="G235" s="197"/>
      <c r="H235" s="78"/>
      <c r="I235" s="198"/>
      <c r="J235" s="198"/>
      <c r="K235" s="198"/>
      <c r="L235" s="226"/>
      <c r="M235" s="83"/>
    </row>
    <row r="236" spans="1:13" s="6" customFormat="1" ht="15" customHeight="1" x14ac:dyDescent="0.3">
      <c r="A236" s="132"/>
      <c r="B236" s="139"/>
      <c r="C236" s="86"/>
      <c r="D236" s="84"/>
      <c r="E236" s="84"/>
      <c r="F236" s="93"/>
      <c r="G236" s="190"/>
      <c r="H236" s="78"/>
      <c r="I236" s="179"/>
      <c r="J236" s="179"/>
      <c r="K236" s="179"/>
      <c r="L236" s="211"/>
      <c r="M236" s="83"/>
    </row>
    <row r="237" spans="1:13" s="6" customFormat="1" ht="15" customHeight="1" x14ac:dyDescent="0.3">
      <c r="A237" s="132"/>
      <c r="B237" s="139"/>
      <c r="C237" s="86"/>
      <c r="D237" s="84"/>
      <c r="E237" s="84"/>
      <c r="F237" s="93"/>
      <c r="G237" s="190"/>
      <c r="H237" s="78"/>
      <c r="I237" s="179"/>
      <c r="J237" s="179"/>
      <c r="K237" s="179"/>
      <c r="L237" s="211"/>
      <c r="M237" s="83"/>
    </row>
    <row r="238" spans="1:13" s="6" customFormat="1" ht="15" customHeight="1" x14ac:dyDescent="0.3">
      <c r="A238" s="132"/>
      <c r="B238" s="139"/>
      <c r="C238" s="86"/>
      <c r="D238" s="84"/>
      <c r="E238" s="84"/>
      <c r="F238" s="93"/>
      <c r="G238" s="190"/>
      <c r="H238" s="78"/>
      <c r="I238" s="179"/>
      <c r="J238" s="179"/>
      <c r="K238" s="179"/>
      <c r="L238" s="211"/>
      <c r="M238" s="83"/>
    </row>
    <row r="239" spans="1:13" s="6" customFormat="1" ht="15" customHeight="1" x14ac:dyDescent="0.3">
      <c r="A239" s="132"/>
      <c r="B239" s="139"/>
      <c r="C239" s="86"/>
      <c r="D239" s="84"/>
      <c r="E239" s="84"/>
      <c r="F239" s="93"/>
      <c r="G239" s="190"/>
      <c r="H239" s="78"/>
      <c r="I239" s="179"/>
      <c r="J239" s="179"/>
      <c r="K239" s="179"/>
      <c r="L239" s="211"/>
      <c r="M239" s="83"/>
    </row>
    <row r="240" spans="1:13" s="6" customFormat="1" ht="15" customHeight="1" x14ac:dyDescent="0.3">
      <c r="A240" s="132"/>
      <c r="B240" s="139"/>
      <c r="C240" s="86"/>
      <c r="D240" s="84"/>
      <c r="E240" s="84"/>
      <c r="F240" s="84"/>
      <c r="G240" s="190"/>
      <c r="H240" s="78"/>
      <c r="I240" s="179"/>
      <c r="J240" s="179"/>
      <c r="K240" s="179"/>
      <c r="L240" s="211"/>
      <c r="M240" s="83"/>
    </row>
    <row r="241" spans="1:13" s="6" customFormat="1" ht="15" customHeight="1" x14ac:dyDescent="0.3">
      <c r="A241" s="132"/>
      <c r="B241" s="139"/>
      <c r="C241" s="86"/>
      <c r="D241" s="84"/>
      <c r="E241" s="84"/>
      <c r="F241" s="84"/>
      <c r="G241" s="190"/>
      <c r="H241" s="78"/>
      <c r="I241" s="179"/>
      <c r="J241" s="179"/>
      <c r="K241" s="179"/>
      <c r="L241" s="211"/>
      <c r="M241" s="83"/>
    </row>
    <row r="242" spans="1:13" s="6" customFormat="1" ht="15" customHeight="1" x14ac:dyDescent="0.3">
      <c r="A242" s="132"/>
      <c r="B242" s="139"/>
      <c r="C242" s="86"/>
      <c r="D242" s="84"/>
      <c r="E242" s="84"/>
      <c r="F242" s="84"/>
      <c r="G242" s="190"/>
      <c r="H242" s="78"/>
      <c r="I242" s="179"/>
      <c r="J242" s="179"/>
      <c r="K242" s="179"/>
      <c r="L242" s="211"/>
      <c r="M242" s="83"/>
    </row>
    <row r="243" spans="1:13" s="6" customFormat="1" ht="15" customHeight="1" x14ac:dyDescent="0.3">
      <c r="A243" s="132"/>
      <c r="B243" s="139"/>
      <c r="C243" s="86"/>
      <c r="D243" s="84"/>
      <c r="E243" s="84"/>
      <c r="F243" s="84"/>
      <c r="G243" s="190"/>
      <c r="H243" s="78"/>
      <c r="I243" s="179"/>
      <c r="J243" s="179"/>
      <c r="K243" s="179"/>
      <c r="L243" s="211"/>
      <c r="M243" s="83"/>
    </row>
    <row r="244" spans="1:13" s="6" customFormat="1" ht="15" customHeight="1" x14ac:dyDescent="0.3">
      <c r="A244" s="132"/>
      <c r="B244" s="139"/>
      <c r="C244" s="86"/>
      <c r="D244" s="84"/>
      <c r="E244" s="84"/>
      <c r="F244" s="84"/>
      <c r="G244" s="190"/>
      <c r="H244" s="78"/>
      <c r="I244" s="179"/>
      <c r="J244" s="179"/>
      <c r="K244" s="179"/>
      <c r="L244" s="211"/>
      <c r="M244" s="83"/>
    </row>
    <row r="245" spans="1:13" s="6" customFormat="1" ht="15" customHeight="1" x14ac:dyDescent="0.3">
      <c r="A245" s="132"/>
      <c r="B245" s="139"/>
      <c r="C245" s="86"/>
      <c r="D245" s="84"/>
      <c r="E245" s="84"/>
      <c r="F245" s="84"/>
      <c r="G245" s="190"/>
      <c r="H245" s="78"/>
      <c r="I245" s="179"/>
      <c r="J245" s="179"/>
      <c r="K245" s="179"/>
      <c r="L245" s="211"/>
      <c r="M245" s="83"/>
    </row>
    <row r="246" spans="1:13" s="6" customFormat="1" ht="15" customHeight="1" x14ac:dyDescent="0.3">
      <c r="A246" s="132"/>
      <c r="B246" s="139"/>
      <c r="C246" s="86"/>
      <c r="D246" s="84"/>
      <c r="E246" s="84"/>
      <c r="F246" s="84"/>
      <c r="G246" s="190"/>
      <c r="H246" s="78"/>
      <c r="I246" s="179"/>
      <c r="J246" s="179"/>
      <c r="K246" s="179"/>
      <c r="L246" s="211"/>
      <c r="M246" s="83"/>
    </row>
    <row r="247" spans="1:13" s="6" customFormat="1" ht="15" customHeight="1" x14ac:dyDescent="0.3">
      <c r="A247" s="132"/>
      <c r="B247" s="139"/>
      <c r="C247" s="86"/>
      <c r="D247" s="84"/>
      <c r="E247" s="84"/>
      <c r="F247" s="84"/>
      <c r="G247" s="190"/>
      <c r="H247" s="78"/>
      <c r="I247" s="179"/>
      <c r="J247" s="179"/>
      <c r="K247" s="179"/>
      <c r="L247" s="211"/>
      <c r="M247" s="83"/>
    </row>
    <row r="248" spans="1:13" s="6" customFormat="1" ht="15" customHeight="1" x14ac:dyDescent="0.3">
      <c r="A248" s="132"/>
      <c r="B248" s="139"/>
      <c r="C248" s="86"/>
      <c r="D248" s="84"/>
      <c r="E248" s="84"/>
      <c r="F248" s="84"/>
      <c r="G248" s="190"/>
      <c r="H248" s="78"/>
      <c r="I248" s="179"/>
      <c r="J248" s="179"/>
      <c r="K248" s="179"/>
      <c r="L248" s="211"/>
      <c r="M248" s="83"/>
    </row>
    <row r="249" spans="1:13" s="6" customFormat="1" ht="15" customHeight="1" x14ac:dyDescent="0.3">
      <c r="A249" s="132"/>
      <c r="B249" s="139"/>
      <c r="C249" s="86"/>
      <c r="D249" s="84"/>
      <c r="E249" s="84"/>
      <c r="F249" s="84"/>
      <c r="G249" s="190"/>
      <c r="H249" s="78"/>
      <c r="I249" s="179"/>
      <c r="J249" s="179"/>
      <c r="K249" s="179"/>
      <c r="L249" s="211"/>
      <c r="M249" s="83"/>
    </row>
    <row r="250" spans="1:13" s="6" customFormat="1" ht="15" customHeight="1" x14ac:dyDescent="0.3">
      <c r="A250" s="132"/>
      <c r="B250" s="139"/>
      <c r="C250" s="86"/>
      <c r="D250" s="84"/>
      <c r="E250" s="84"/>
      <c r="F250" s="84"/>
      <c r="G250" s="190"/>
      <c r="H250" s="78"/>
      <c r="I250" s="179"/>
      <c r="J250" s="179"/>
      <c r="K250" s="179"/>
      <c r="L250" s="211"/>
      <c r="M250" s="83"/>
    </row>
    <row r="251" spans="1:13" s="6" customFormat="1" ht="15" customHeight="1" x14ac:dyDescent="0.3">
      <c r="A251" s="132"/>
      <c r="B251" s="139"/>
      <c r="C251" s="86"/>
      <c r="D251" s="84"/>
      <c r="E251" s="84"/>
      <c r="F251" s="84"/>
      <c r="G251" s="190"/>
      <c r="H251" s="78"/>
      <c r="I251" s="179"/>
      <c r="J251" s="179"/>
      <c r="K251" s="179"/>
      <c r="L251" s="211"/>
      <c r="M251" s="83"/>
    </row>
    <row r="252" spans="1:13" s="6" customFormat="1" ht="15" customHeight="1" x14ac:dyDescent="0.3">
      <c r="A252" s="132"/>
      <c r="B252" s="139"/>
      <c r="C252" s="86"/>
      <c r="D252" s="84"/>
      <c r="E252" s="84"/>
      <c r="F252" s="84"/>
      <c r="G252" s="190"/>
      <c r="H252" s="78"/>
      <c r="I252" s="179"/>
      <c r="J252" s="179"/>
      <c r="K252" s="179"/>
      <c r="L252" s="211"/>
      <c r="M252" s="83"/>
    </row>
    <row r="253" spans="1:13" s="6" customFormat="1" ht="15" customHeight="1" x14ac:dyDescent="0.3">
      <c r="A253" s="132"/>
      <c r="B253" s="139"/>
      <c r="C253" s="86"/>
      <c r="D253" s="84"/>
      <c r="E253" s="84"/>
      <c r="F253" s="84"/>
      <c r="G253" s="190"/>
      <c r="H253" s="78"/>
      <c r="I253" s="179"/>
      <c r="J253" s="179"/>
      <c r="K253" s="179"/>
      <c r="L253" s="211"/>
      <c r="M253" s="83"/>
    </row>
    <row r="254" spans="1:13" s="6" customFormat="1" ht="15" customHeight="1" x14ac:dyDescent="0.3">
      <c r="A254" s="132"/>
      <c r="B254" s="139"/>
      <c r="C254" s="86"/>
      <c r="D254" s="84"/>
      <c r="E254" s="84"/>
      <c r="F254" s="84"/>
      <c r="G254" s="190"/>
      <c r="H254" s="78"/>
      <c r="I254" s="179"/>
      <c r="J254" s="179"/>
      <c r="K254" s="179"/>
      <c r="L254" s="211"/>
      <c r="M254" s="83"/>
    </row>
    <row r="255" spans="1:13" s="6" customFormat="1" ht="15" customHeight="1" x14ac:dyDescent="0.3">
      <c r="A255" s="132"/>
      <c r="B255" s="139"/>
      <c r="C255" s="86"/>
      <c r="D255" s="84"/>
      <c r="E255" s="84"/>
      <c r="F255" s="84"/>
      <c r="G255" s="190"/>
      <c r="H255" s="78"/>
      <c r="I255" s="179"/>
      <c r="J255" s="179"/>
      <c r="K255" s="179"/>
      <c r="L255" s="211"/>
      <c r="M255" s="83"/>
    </row>
    <row r="256" spans="1:13" s="6" customFormat="1" ht="15" customHeight="1" x14ac:dyDescent="0.3">
      <c r="A256" s="132"/>
      <c r="B256" s="139"/>
      <c r="C256" s="86"/>
      <c r="D256" s="84"/>
      <c r="E256" s="84"/>
      <c r="F256" s="84"/>
      <c r="G256" s="190"/>
      <c r="H256" s="78"/>
      <c r="I256" s="179"/>
      <c r="J256" s="179"/>
      <c r="K256" s="179"/>
      <c r="L256" s="211"/>
      <c r="M256" s="83"/>
    </row>
    <row r="257" spans="1:13" s="6" customFormat="1" ht="15" customHeight="1" x14ac:dyDescent="0.3">
      <c r="A257" s="132"/>
      <c r="B257" s="139"/>
      <c r="C257" s="86"/>
      <c r="D257" s="84"/>
      <c r="E257" s="84"/>
      <c r="F257" s="84"/>
      <c r="G257" s="190"/>
      <c r="H257" s="78"/>
      <c r="I257" s="179"/>
      <c r="J257" s="179"/>
      <c r="K257" s="179"/>
      <c r="L257" s="211"/>
      <c r="M257" s="83"/>
    </row>
    <row r="258" spans="1:13" s="6" customFormat="1" ht="15" customHeight="1" x14ac:dyDescent="0.3">
      <c r="A258" s="132"/>
      <c r="B258" s="139"/>
      <c r="C258" s="86"/>
      <c r="D258" s="84"/>
      <c r="E258" s="84"/>
      <c r="F258" s="84"/>
      <c r="G258" s="190"/>
      <c r="H258" s="78"/>
      <c r="I258" s="179"/>
      <c r="J258" s="179"/>
      <c r="K258" s="179"/>
      <c r="L258" s="211"/>
      <c r="M258" s="83"/>
    </row>
    <row r="259" spans="1:13" s="6" customFormat="1" ht="15" customHeight="1" x14ac:dyDescent="0.3">
      <c r="A259" s="132"/>
      <c r="B259" s="139"/>
      <c r="C259" s="86"/>
      <c r="D259" s="84"/>
      <c r="E259" s="84"/>
      <c r="F259" s="84"/>
      <c r="G259" s="190"/>
      <c r="H259" s="78"/>
      <c r="I259" s="179"/>
      <c r="J259" s="179"/>
      <c r="K259" s="179"/>
      <c r="L259" s="211"/>
      <c r="M259" s="83"/>
    </row>
    <row r="260" spans="1:13" s="6" customFormat="1" ht="15" customHeight="1" x14ac:dyDescent="0.3">
      <c r="A260" s="132"/>
      <c r="B260" s="139"/>
      <c r="C260" s="86"/>
      <c r="D260" s="84"/>
      <c r="E260" s="84"/>
      <c r="F260" s="84"/>
      <c r="G260" s="190"/>
      <c r="H260" s="78"/>
      <c r="I260" s="179"/>
      <c r="J260" s="179"/>
      <c r="K260" s="179"/>
      <c r="L260" s="211"/>
      <c r="M260" s="83"/>
    </row>
    <row r="261" spans="1:13" s="6" customFormat="1" ht="15" customHeight="1" x14ac:dyDescent="0.3">
      <c r="A261" s="132"/>
      <c r="B261" s="139"/>
      <c r="C261" s="86"/>
      <c r="D261" s="84"/>
      <c r="E261" s="84"/>
      <c r="F261" s="84"/>
      <c r="G261" s="190"/>
      <c r="H261" s="78"/>
      <c r="I261" s="179"/>
      <c r="J261" s="179"/>
      <c r="K261" s="179"/>
      <c r="L261" s="211"/>
      <c r="M261" s="83"/>
    </row>
    <row r="262" spans="1:13" s="6" customFormat="1" ht="15" customHeight="1" x14ac:dyDescent="0.3">
      <c r="A262" s="132"/>
      <c r="B262" s="139"/>
      <c r="C262" s="86"/>
      <c r="D262" s="84"/>
      <c r="E262" s="84"/>
      <c r="F262" s="84"/>
      <c r="G262" s="190"/>
      <c r="H262" s="78"/>
      <c r="I262" s="179"/>
      <c r="J262" s="179"/>
      <c r="K262" s="179"/>
      <c r="L262" s="211"/>
      <c r="M262" s="83"/>
    </row>
    <row r="263" spans="1:13" s="6" customFormat="1" ht="15" customHeight="1" x14ac:dyDescent="0.3">
      <c r="A263" s="132"/>
      <c r="B263" s="139"/>
      <c r="C263" s="86"/>
      <c r="D263" s="84"/>
      <c r="E263" s="84"/>
      <c r="F263" s="84"/>
      <c r="G263" s="190"/>
      <c r="H263" s="78"/>
      <c r="I263" s="179"/>
      <c r="J263" s="179"/>
      <c r="K263" s="179"/>
      <c r="L263" s="211"/>
      <c r="M263" s="83"/>
    </row>
    <row r="264" spans="1:13" s="6" customFormat="1" ht="15" customHeight="1" x14ac:dyDescent="0.3">
      <c r="A264" s="132"/>
      <c r="B264" s="139"/>
      <c r="C264" s="86"/>
      <c r="D264" s="84"/>
      <c r="E264" s="84"/>
      <c r="F264" s="84"/>
      <c r="G264" s="190"/>
      <c r="H264" s="78"/>
      <c r="I264" s="179"/>
      <c r="J264" s="179"/>
      <c r="K264" s="179"/>
      <c r="L264" s="211"/>
      <c r="M264" s="83"/>
    </row>
    <row r="265" spans="1:13" s="6" customFormat="1" ht="15" customHeight="1" x14ac:dyDescent="0.3">
      <c r="A265" s="132"/>
      <c r="B265" s="139"/>
      <c r="C265" s="86"/>
      <c r="D265" s="84"/>
      <c r="E265" s="84"/>
      <c r="F265" s="84"/>
      <c r="G265" s="190"/>
      <c r="H265" s="78"/>
      <c r="I265" s="179"/>
      <c r="J265" s="179"/>
      <c r="K265" s="179"/>
      <c r="L265" s="211"/>
      <c r="M265" s="83"/>
    </row>
    <row r="266" spans="1:13" s="6" customFormat="1" ht="15" customHeight="1" x14ac:dyDescent="0.3">
      <c r="A266" s="132"/>
      <c r="B266" s="139"/>
      <c r="C266" s="86"/>
      <c r="D266" s="84"/>
      <c r="E266" s="84"/>
      <c r="F266" s="84"/>
      <c r="G266" s="190"/>
      <c r="H266" s="78"/>
      <c r="I266" s="179"/>
      <c r="J266" s="179"/>
      <c r="K266" s="179"/>
      <c r="L266" s="211"/>
      <c r="M266" s="83"/>
    </row>
    <row r="267" spans="1:13" s="6" customFormat="1" ht="15" customHeight="1" x14ac:dyDescent="0.3">
      <c r="A267" s="132"/>
      <c r="B267" s="139"/>
      <c r="C267" s="86"/>
      <c r="D267" s="84"/>
      <c r="E267" s="84"/>
      <c r="F267" s="84"/>
      <c r="G267" s="190"/>
      <c r="H267" s="78"/>
      <c r="I267" s="179"/>
      <c r="J267" s="179"/>
      <c r="K267" s="179"/>
      <c r="L267" s="211"/>
      <c r="M267" s="83"/>
    </row>
    <row r="268" spans="1:13" s="6" customFormat="1" ht="15" customHeight="1" x14ac:dyDescent="0.3">
      <c r="A268" s="132"/>
      <c r="B268" s="139"/>
      <c r="C268" s="86"/>
      <c r="D268" s="84"/>
      <c r="E268" s="84"/>
      <c r="F268" s="84"/>
      <c r="G268" s="190"/>
      <c r="H268" s="78"/>
      <c r="I268" s="179"/>
      <c r="J268" s="179"/>
      <c r="K268" s="179"/>
      <c r="L268" s="211"/>
      <c r="M268" s="83"/>
    </row>
    <row r="269" spans="1:13" s="6" customFormat="1" ht="15" customHeight="1" x14ac:dyDescent="0.3">
      <c r="A269" s="132"/>
      <c r="B269" s="139"/>
      <c r="C269" s="86"/>
      <c r="D269" s="84"/>
      <c r="E269" s="84"/>
      <c r="F269" s="84"/>
      <c r="G269" s="190"/>
      <c r="H269" s="78"/>
      <c r="I269" s="179"/>
      <c r="J269" s="179"/>
      <c r="K269" s="179"/>
      <c r="L269" s="211"/>
      <c r="M269" s="83"/>
    </row>
    <row r="270" spans="1:13" s="6" customFormat="1" ht="15" customHeight="1" x14ac:dyDescent="0.3">
      <c r="A270" s="132"/>
      <c r="B270" s="139"/>
      <c r="C270" s="86"/>
      <c r="D270" s="84"/>
      <c r="E270" s="84"/>
      <c r="F270" s="84"/>
      <c r="G270" s="190"/>
      <c r="H270" s="78"/>
      <c r="I270" s="179"/>
      <c r="J270" s="179"/>
      <c r="K270" s="179"/>
      <c r="L270" s="211"/>
      <c r="M270" s="83"/>
    </row>
    <row r="271" spans="1:13" s="6" customFormat="1" ht="15" customHeight="1" x14ac:dyDescent="0.3">
      <c r="A271" s="132"/>
      <c r="B271" s="139"/>
      <c r="C271" s="86"/>
      <c r="D271" s="84"/>
      <c r="E271" s="84"/>
      <c r="F271" s="84"/>
      <c r="G271" s="190"/>
      <c r="H271" s="78"/>
      <c r="I271" s="179"/>
      <c r="J271" s="179"/>
      <c r="K271" s="179"/>
      <c r="L271" s="211"/>
      <c r="M271" s="83"/>
    </row>
    <row r="272" spans="1:13" s="6" customFormat="1" ht="15" customHeight="1" x14ac:dyDescent="0.3">
      <c r="A272" s="132"/>
      <c r="B272" s="139"/>
      <c r="C272" s="86"/>
      <c r="D272" s="84"/>
      <c r="E272" s="84"/>
      <c r="F272" s="84"/>
      <c r="G272" s="190"/>
      <c r="H272" s="78"/>
      <c r="I272" s="179"/>
      <c r="J272" s="179"/>
      <c r="K272" s="179"/>
      <c r="L272" s="211"/>
      <c r="M272" s="83"/>
    </row>
    <row r="273" spans="1:13" s="6" customFormat="1" ht="15" customHeight="1" x14ac:dyDescent="0.3">
      <c r="A273" s="132"/>
      <c r="B273" s="139"/>
      <c r="C273" s="86"/>
      <c r="D273" s="84"/>
      <c r="E273" s="84"/>
      <c r="F273" s="84"/>
      <c r="G273" s="190"/>
      <c r="H273" s="78"/>
      <c r="I273" s="179"/>
      <c r="J273" s="179"/>
      <c r="K273" s="179"/>
      <c r="L273" s="211"/>
      <c r="M273" s="83"/>
    </row>
    <row r="274" spans="1:13" s="6" customFormat="1" ht="15" customHeight="1" x14ac:dyDescent="0.3">
      <c r="A274" s="132"/>
      <c r="B274" s="139"/>
      <c r="C274" s="86"/>
      <c r="D274" s="84"/>
      <c r="E274" s="84"/>
      <c r="F274" s="84"/>
      <c r="G274" s="190"/>
      <c r="H274" s="78"/>
      <c r="I274" s="179"/>
      <c r="J274" s="179"/>
      <c r="K274" s="179"/>
      <c r="L274" s="211"/>
      <c r="M274" s="83"/>
    </row>
    <row r="275" spans="1:13" s="6" customFormat="1" ht="15" customHeight="1" x14ac:dyDescent="0.3">
      <c r="A275" s="132"/>
      <c r="B275" s="139"/>
      <c r="C275" s="86"/>
      <c r="D275" s="84"/>
      <c r="E275" s="84"/>
      <c r="F275" s="84"/>
      <c r="G275" s="190"/>
      <c r="H275" s="78"/>
      <c r="I275" s="179"/>
      <c r="J275" s="179"/>
      <c r="K275" s="179"/>
      <c r="L275" s="211"/>
      <c r="M275" s="83"/>
    </row>
    <row r="276" spans="1:13" s="6" customFormat="1" ht="15" customHeight="1" x14ac:dyDescent="0.3">
      <c r="A276" s="132"/>
      <c r="B276" s="139"/>
      <c r="C276" s="86"/>
      <c r="D276" s="84"/>
      <c r="E276" s="84"/>
      <c r="F276" s="84"/>
      <c r="G276" s="190"/>
      <c r="H276" s="78"/>
      <c r="I276" s="179"/>
      <c r="J276" s="179"/>
      <c r="K276" s="179"/>
      <c r="L276" s="211"/>
      <c r="M276" s="83"/>
    </row>
    <row r="277" spans="1:13" s="6" customFormat="1" ht="15" customHeight="1" x14ac:dyDescent="0.3">
      <c r="A277" s="132"/>
      <c r="B277" s="139"/>
      <c r="C277" s="86"/>
      <c r="D277" s="84"/>
      <c r="E277" s="84"/>
      <c r="F277" s="84"/>
      <c r="G277" s="190"/>
      <c r="H277" s="78"/>
      <c r="I277" s="179"/>
      <c r="J277" s="179"/>
      <c r="K277" s="179"/>
      <c r="L277" s="211"/>
      <c r="M277" s="83"/>
    </row>
    <row r="278" spans="1:13" s="6" customFormat="1" ht="15" customHeight="1" x14ac:dyDescent="0.3">
      <c r="A278" s="132"/>
      <c r="B278" s="139"/>
      <c r="C278" s="86"/>
      <c r="D278" s="84"/>
      <c r="E278" s="84"/>
      <c r="F278" s="84"/>
      <c r="G278" s="190"/>
      <c r="H278" s="78"/>
      <c r="I278" s="179"/>
      <c r="J278" s="179"/>
      <c r="K278" s="179"/>
      <c r="L278" s="211"/>
      <c r="M278" s="83"/>
    </row>
    <row r="279" spans="1:13" s="6" customFormat="1" ht="15" customHeight="1" x14ac:dyDescent="0.3">
      <c r="A279" s="132"/>
      <c r="B279" s="139"/>
      <c r="C279" s="86"/>
      <c r="D279" s="84"/>
      <c r="E279" s="84"/>
      <c r="F279" s="84"/>
      <c r="G279" s="190"/>
      <c r="H279" s="78"/>
      <c r="I279" s="179"/>
      <c r="J279" s="179"/>
      <c r="K279" s="179"/>
      <c r="L279" s="211"/>
      <c r="M279" s="83"/>
    </row>
    <row r="280" spans="1:13" s="6" customFormat="1" ht="15" customHeight="1" x14ac:dyDescent="0.3">
      <c r="A280" s="132"/>
      <c r="B280" s="139"/>
      <c r="C280" s="86"/>
      <c r="D280" s="84"/>
      <c r="E280" s="84"/>
      <c r="F280" s="84"/>
      <c r="G280" s="190"/>
      <c r="H280" s="78"/>
      <c r="I280" s="179"/>
      <c r="J280" s="179"/>
      <c r="K280" s="179"/>
      <c r="L280" s="211"/>
      <c r="M280" s="83"/>
    </row>
    <row r="281" spans="1:13" s="6" customFormat="1" ht="15" customHeight="1" x14ac:dyDescent="0.3">
      <c r="A281" s="132"/>
      <c r="B281" s="139"/>
      <c r="C281" s="86"/>
      <c r="D281" s="84"/>
      <c r="E281" s="84"/>
      <c r="F281" s="84"/>
      <c r="G281" s="190"/>
      <c r="H281" s="78"/>
      <c r="I281" s="179"/>
      <c r="J281" s="179"/>
      <c r="K281" s="179"/>
      <c r="L281" s="211"/>
      <c r="M281" s="83"/>
    </row>
    <row r="282" spans="1:13" s="6" customFormat="1" ht="15" customHeight="1" x14ac:dyDescent="0.3">
      <c r="A282" s="132"/>
      <c r="B282" s="139"/>
      <c r="C282" s="86"/>
      <c r="D282" s="84"/>
      <c r="E282" s="84"/>
      <c r="F282" s="84"/>
      <c r="G282" s="190"/>
      <c r="H282" s="78"/>
      <c r="I282" s="179"/>
      <c r="J282" s="179"/>
      <c r="K282" s="179"/>
      <c r="L282" s="211"/>
      <c r="M282" s="83"/>
    </row>
    <row r="283" spans="1:13" s="6" customFormat="1" ht="15" customHeight="1" x14ac:dyDescent="0.3">
      <c r="A283" s="132"/>
      <c r="B283" s="139"/>
      <c r="C283" s="86"/>
      <c r="D283" s="84"/>
      <c r="E283" s="84"/>
      <c r="F283" s="84"/>
      <c r="G283" s="190"/>
      <c r="H283" s="78"/>
      <c r="I283" s="179"/>
      <c r="J283" s="179"/>
      <c r="K283" s="179"/>
      <c r="L283" s="211"/>
      <c r="M283" s="83"/>
    </row>
    <row r="284" spans="1:13" s="6" customFormat="1" ht="15" customHeight="1" x14ac:dyDescent="0.3">
      <c r="A284" s="132"/>
      <c r="B284" s="139"/>
      <c r="C284" s="86"/>
      <c r="D284" s="84"/>
      <c r="E284" s="84"/>
      <c r="F284" s="84"/>
      <c r="G284" s="190"/>
      <c r="H284" s="78"/>
      <c r="I284" s="179"/>
      <c r="J284" s="179"/>
      <c r="K284" s="179"/>
      <c r="L284" s="211"/>
      <c r="M284" s="83"/>
    </row>
    <row r="285" spans="1:13" s="6" customFormat="1" ht="15" customHeight="1" x14ac:dyDescent="0.3">
      <c r="A285" s="132"/>
      <c r="B285" s="139"/>
      <c r="C285" s="86"/>
      <c r="D285" s="84"/>
      <c r="E285" s="84"/>
      <c r="F285" s="84"/>
      <c r="G285" s="190"/>
      <c r="H285" s="78"/>
      <c r="I285" s="179"/>
      <c r="J285" s="179"/>
      <c r="K285" s="179"/>
      <c r="L285" s="211"/>
      <c r="M285" s="83"/>
    </row>
    <row r="286" spans="1:13" s="6" customFormat="1" ht="15" customHeight="1" x14ac:dyDescent="0.3">
      <c r="A286" s="132"/>
      <c r="B286" s="139"/>
      <c r="C286" s="86"/>
      <c r="D286" s="84"/>
      <c r="E286" s="84"/>
      <c r="F286" s="84"/>
      <c r="G286" s="190"/>
      <c r="H286" s="78"/>
      <c r="I286" s="179"/>
      <c r="J286" s="179"/>
      <c r="K286" s="179"/>
      <c r="L286" s="211"/>
      <c r="M286" s="83"/>
    </row>
    <row r="287" spans="1:13" s="6" customFormat="1" ht="15" customHeight="1" x14ac:dyDescent="0.3">
      <c r="A287" s="132"/>
      <c r="B287" s="139"/>
      <c r="C287" s="86"/>
      <c r="D287" s="84"/>
      <c r="E287" s="84"/>
      <c r="F287" s="84"/>
      <c r="G287" s="190"/>
      <c r="H287" s="78"/>
      <c r="I287" s="179"/>
      <c r="J287" s="179"/>
      <c r="K287" s="179"/>
      <c r="L287" s="211"/>
      <c r="M287" s="83"/>
    </row>
    <row r="288" spans="1:13" s="6" customFormat="1" ht="15" customHeight="1" x14ac:dyDescent="0.3">
      <c r="A288" s="132"/>
      <c r="B288" s="139"/>
      <c r="C288" s="86"/>
      <c r="D288" s="84"/>
      <c r="E288" s="84"/>
      <c r="F288" s="84"/>
      <c r="G288" s="190"/>
      <c r="H288" s="78"/>
      <c r="I288" s="179"/>
      <c r="J288" s="179"/>
      <c r="K288" s="179"/>
      <c r="L288" s="211"/>
      <c r="M288" s="83"/>
    </row>
    <row r="289" spans="1:13" s="6" customFormat="1" ht="15" customHeight="1" x14ac:dyDescent="0.3">
      <c r="A289" s="132"/>
      <c r="B289" s="139"/>
      <c r="C289" s="86"/>
      <c r="D289" s="84"/>
      <c r="E289" s="84"/>
      <c r="F289" s="84"/>
      <c r="G289" s="190"/>
      <c r="H289" s="78"/>
      <c r="I289" s="179"/>
      <c r="J289" s="179"/>
      <c r="K289" s="179"/>
      <c r="L289" s="211"/>
      <c r="M289" s="83"/>
    </row>
    <row r="290" spans="1:13" s="6" customFormat="1" ht="15" customHeight="1" x14ac:dyDescent="0.3">
      <c r="A290" s="132"/>
      <c r="B290" s="139"/>
      <c r="C290" s="86"/>
      <c r="D290" s="84"/>
      <c r="E290" s="84"/>
      <c r="F290" s="84"/>
      <c r="G290" s="190"/>
      <c r="H290" s="78"/>
      <c r="I290" s="179"/>
      <c r="J290" s="179"/>
      <c r="K290" s="179"/>
      <c r="L290" s="211"/>
      <c r="M290" s="83"/>
    </row>
    <row r="291" spans="1:13" s="6" customFormat="1" ht="15" customHeight="1" x14ac:dyDescent="0.3">
      <c r="A291" s="132"/>
      <c r="B291" s="139"/>
      <c r="C291" s="86"/>
      <c r="D291" s="84"/>
      <c r="E291" s="84"/>
      <c r="F291" s="84"/>
      <c r="G291" s="190"/>
      <c r="H291" s="78"/>
      <c r="I291" s="179"/>
      <c r="J291" s="179"/>
      <c r="K291" s="179"/>
      <c r="L291" s="211"/>
      <c r="M291" s="83"/>
    </row>
    <row r="292" spans="1:13" s="6" customFormat="1" ht="15" customHeight="1" x14ac:dyDescent="0.3">
      <c r="A292" s="132"/>
      <c r="B292" s="139"/>
      <c r="C292" s="86"/>
      <c r="D292" s="84"/>
      <c r="E292" s="84"/>
      <c r="F292" s="84"/>
      <c r="G292" s="190"/>
      <c r="H292" s="78"/>
      <c r="I292" s="179"/>
      <c r="J292" s="179"/>
      <c r="K292" s="179"/>
      <c r="L292" s="211"/>
      <c r="M292" s="83"/>
    </row>
    <row r="293" spans="1:13" s="6" customFormat="1" ht="15" customHeight="1" x14ac:dyDescent="0.3">
      <c r="A293" s="132"/>
      <c r="B293" s="139"/>
      <c r="C293" s="86"/>
      <c r="D293" s="84"/>
      <c r="E293" s="84"/>
      <c r="F293" s="84"/>
      <c r="G293" s="190"/>
      <c r="H293" s="78"/>
      <c r="I293" s="179"/>
      <c r="J293" s="179"/>
      <c r="K293" s="179"/>
      <c r="L293" s="211"/>
      <c r="M293" s="83"/>
    </row>
    <row r="294" spans="1:13" s="6" customFormat="1" ht="15" customHeight="1" x14ac:dyDescent="0.3">
      <c r="A294" s="132"/>
      <c r="B294" s="139"/>
      <c r="C294" s="86"/>
      <c r="D294" s="84"/>
      <c r="E294" s="84"/>
      <c r="F294" s="84"/>
      <c r="G294" s="190"/>
      <c r="H294" s="78"/>
      <c r="I294" s="179"/>
      <c r="J294" s="179"/>
      <c r="K294" s="179"/>
      <c r="L294" s="211"/>
      <c r="M294" s="83"/>
    </row>
    <row r="295" spans="1:13" s="6" customFormat="1" ht="15" customHeight="1" x14ac:dyDescent="0.3">
      <c r="A295" s="132"/>
      <c r="B295" s="139"/>
      <c r="C295" s="86"/>
      <c r="D295" s="84"/>
      <c r="E295" s="84"/>
      <c r="F295" s="84"/>
      <c r="G295" s="190"/>
      <c r="H295" s="78"/>
      <c r="I295" s="179"/>
      <c r="J295" s="179"/>
      <c r="K295" s="179"/>
      <c r="L295" s="211"/>
      <c r="M295" s="83"/>
    </row>
    <row r="296" spans="1:13" s="6" customFormat="1" ht="15" customHeight="1" x14ac:dyDescent="0.3">
      <c r="A296" s="132"/>
      <c r="B296" s="139"/>
      <c r="C296" s="86"/>
      <c r="D296" s="84"/>
      <c r="E296" s="84"/>
      <c r="F296" s="84"/>
      <c r="G296" s="190"/>
      <c r="H296" s="78"/>
      <c r="I296" s="179"/>
      <c r="J296" s="179"/>
      <c r="K296" s="179"/>
      <c r="L296" s="211"/>
      <c r="M296" s="83"/>
    </row>
    <row r="297" spans="1:13" s="6" customFormat="1" ht="15" customHeight="1" x14ac:dyDescent="0.3">
      <c r="A297" s="132"/>
      <c r="B297" s="139"/>
      <c r="C297" s="86"/>
      <c r="D297" s="84"/>
      <c r="E297" s="84"/>
      <c r="F297" s="84"/>
      <c r="G297" s="190"/>
      <c r="H297" s="78"/>
      <c r="I297" s="179"/>
      <c r="J297" s="179"/>
      <c r="K297" s="179"/>
      <c r="L297" s="211"/>
      <c r="M297" s="83"/>
    </row>
    <row r="298" spans="1:13" s="6" customFormat="1" ht="15" customHeight="1" x14ac:dyDescent="0.3">
      <c r="A298" s="132"/>
      <c r="B298" s="139"/>
      <c r="C298" s="86"/>
      <c r="D298" s="84"/>
      <c r="E298" s="84"/>
      <c r="F298" s="84"/>
      <c r="G298" s="190"/>
      <c r="H298" s="78"/>
      <c r="I298" s="179"/>
      <c r="J298" s="179"/>
      <c r="K298" s="179"/>
      <c r="L298" s="211"/>
      <c r="M298" s="83"/>
    </row>
    <row r="299" spans="1:13" s="6" customFormat="1" ht="15" customHeight="1" x14ac:dyDescent="0.3">
      <c r="A299" s="132"/>
      <c r="B299" s="139"/>
      <c r="C299" s="86"/>
      <c r="D299" s="84"/>
      <c r="E299" s="84"/>
      <c r="F299" s="84"/>
      <c r="G299" s="190"/>
      <c r="H299" s="78"/>
      <c r="I299" s="179"/>
      <c r="J299" s="179"/>
      <c r="K299" s="179"/>
      <c r="L299" s="211"/>
      <c r="M299" s="83"/>
    </row>
    <row r="300" spans="1:13" s="6" customFormat="1" ht="15" customHeight="1" x14ac:dyDescent="0.3">
      <c r="A300" s="132"/>
      <c r="B300" s="139"/>
      <c r="C300" s="86"/>
      <c r="D300" s="84"/>
      <c r="E300" s="84"/>
      <c r="F300" s="84"/>
      <c r="G300" s="190"/>
      <c r="H300" s="78"/>
      <c r="I300" s="179"/>
      <c r="J300" s="179"/>
      <c r="K300" s="179"/>
      <c r="L300" s="211"/>
      <c r="M300" s="83"/>
    </row>
    <row r="301" spans="1:13" s="6" customFormat="1" ht="15" customHeight="1" x14ac:dyDescent="0.3">
      <c r="A301" s="132"/>
      <c r="B301" s="139"/>
      <c r="C301" s="86"/>
      <c r="D301" s="84"/>
      <c r="E301" s="84"/>
      <c r="F301" s="84"/>
      <c r="G301" s="190"/>
      <c r="H301" s="78"/>
      <c r="I301" s="179"/>
      <c r="J301" s="179"/>
      <c r="K301" s="179"/>
      <c r="L301" s="211"/>
      <c r="M301" s="83"/>
    </row>
    <row r="302" spans="1:13" s="6" customFormat="1" ht="15" customHeight="1" x14ac:dyDescent="0.3">
      <c r="A302" s="132"/>
      <c r="B302" s="139"/>
      <c r="C302" s="86"/>
      <c r="D302" s="84"/>
      <c r="E302" s="84"/>
      <c r="F302" s="84"/>
      <c r="G302" s="190"/>
      <c r="H302" s="78"/>
      <c r="I302" s="179"/>
      <c r="J302" s="179"/>
      <c r="K302" s="179"/>
      <c r="L302" s="211"/>
      <c r="M302" s="83"/>
    </row>
    <row r="303" spans="1:13" s="6" customFormat="1" ht="15" customHeight="1" x14ac:dyDescent="0.3">
      <c r="A303" s="132"/>
      <c r="B303" s="139"/>
      <c r="C303" s="86"/>
      <c r="D303" s="84"/>
      <c r="E303" s="84"/>
      <c r="F303" s="84"/>
      <c r="G303" s="190"/>
      <c r="H303" s="78"/>
      <c r="I303" s="179"/>
      <c r="J303" s="179"/>
      <c r="K303" s="179"/>
      <c r="L303" s="211"/>
      <c r="M303" s="83"/>
    </row>
    <row r="304" spans="1:13" s="6" customFormat="1" ht="15" customHeight="1" x14ac:dyDescent="0.3">
      <c r="A304" s="132"/>
      <c r="B304" s="139"/>
      <c r="C304" s="86"/>
      <c r="D304" s="84"/>
      <c r="E304" s="84"/>
      <c r="F304" s="84"/>
      <c r="G304" s="190"/>
      <c r="H304" s="78"/>
      <c r="I304" s="179"/>
      <c r="J304" s="179"/>
      <c r="K304" s="179"/>
      <c r="L304" s="211"/>
      <c r="M304" s="83"/>
    </row>
    <row r="305" spans="1:13" s="6" customFormat="1" ht="15" customHeight="1" x14ac:dyDescent="0.3">
      <c r="A305" s="132"/>
      <c r="B305" s="139"/>
      <c r="C305" s="86"/>
      <c r="D305" s="84"/>
      <c r="E305" s="84"/>
      <c r="F305" s="84"/>
      <c r="G305" s="190"/>
      <c r="H305" s="78"/>
      <c r="I305" s="179"/>
      <c r="J305" s="179"/>
      <c r="K305" s="179"/>
      <c r="L305" s="211"/>
      <c r="M305" s="83"/>
    </row>
    <row r="306" spans="1:13" s="6" customFormat="1" ht="15" customHeight="1" x14ac:dyDescent="0.3">
      <c r="A306" s="132"/>
      <c r="B306" s="139"/>
      <c r="C306" s="86"/>
      <c r="D306" s="84"/>
      <c r="E306" s="84"/>
      <c r="F306" s="84"/>
      <c r="G306" s="190"/>
      <c r="H306" s="78"/>
      <c r="I306" s="179"/>
      <c r="J306" s="179"/>
      <c r="K306" s="179"/>
      <c r="L306" s="211"/>
      <c r="M306" s="83"/>
    </row>
    <row r="307" spans="1:13" s="6" customFormat="1" ht="15" customHeight="1" x14ac:dyDescent="0.3">
      <c r="A307" s="132"/>
      <c r="B307" s="139"/>
      <c r="C307" s="86"/>
      <c r="D307" s="84"/>
      <c r="E307" s="84"/>
      <c r="F307" s="84"/>
      <c r="G307" s="190"/>
      <c r="H307" s="78"/>
      <c r="I307" s="179"/>
      <c r="J307" s="179"/>
      <c r="K307" s="179"/>
      <c r="L307" s="211"/>
      <c r="M307" s="83"/>
    </row>
    <row r="308" spans="1:13" s="6" customFormat="1" ht="15" customHeight="1" x14ac:dyDescent="0.3">
      <c r="A308" s="132"/>
      <c r="B308" s="139"/>
      <c r="C308" s="86"/>
      <c r="D308" s="84"/>
      <c r="E308" s="84"/>
      <c r="F308" s="84"/>
      <c r="G308" s="190"/>
      <c r="H308" s="78"/>
      <c r="I308" s="179"/>
      <c r="J308" s="179"/>
      <c r="K308" s="179"/>
      <c r="L308" s="211"/>
      <c r="M308" s="83"/>
    </row>
    <row r="309" spans="1:13" s="6" customFormat="1" ht="15" customHeight="1" x14ac:dyDescent="0.3">
      <c r="A309" s="132"/>
      <c r="B309" s="139"/>
      <c r="C309" s="86"/>
      <c r="D309" s="84"/>
      <c r="E309" s="84"/>
      <c r="F309" s="84"/>
      <c r="G309" s="190"/>
      <c r="H309" s="78"/>
      <c r="I309" s="179"/>
      <c r="J309" s="179"/>
      <c r="K309" s="179"/>
      <c r="L309" s="211"/>
      <c r="M309" s="83"/>
    </row>
    <row r="310" spans="1:13" s="6" customFormat="1" ht="15" customHeight="1" x14ac:dyDescent="0.3">
      <c r="A310" s="136"/>
      <c r="B310" s="142"/>
      <c r="C310" s="86"/>
      <c r="D310" s="84"/>
      <c r="E310" s="84"/>
      <c r="F310" s="84"/>
      <c r="G310" s="80"/>
      <c r="H310" s="78"/>
      <c r="I310" s="84"/>
      <c r="J310" s="84"/>
      <c r="K310" s="84"/>
      <c r="L310" s="209"/>
      <c r="M310" s="83"/>
    </row>
    <row r="311" spans="1:13" s="6" customFormat="1" ht="15" customHeight="1" x14ac:dyDescent="0.3">
      <c r="A311" s="136"/>
      <c r="B311" s="142"/>
      <c r="C311" s="86"/>
      <c r="D311" s="84"/>
      <c r="E311" s="84"/>
      <c r="F311" s="84"/>
      <c r="G311" s="80"/>
      <c r="H311" s="78"/>
      <c r="I311" s="84"/>
      <c r="J311" s="84"/>
      <c r="K311" s="84"/>
      <c r="L311" s="209"/>
      <c r="M311" s="83"/>
    </row>
    <row r="312" spans="1:13" s="6" customFormat="1" ht="15" customHeight="1" x14ac:dyDescent="0.3">
      <c r="A312" s="136"/>
      <c r="B312" s="142"/>
      <c r="C312" s="86"/>
      <c r="D312" s="84"/>
      <c r="E312" s="84"/>
      <c r="F312" s="84"/>
      <c r="G312" s="80"/>
      <c r="H312" s="78"/>
      <c r="I312" s="84"/>
      <c r="J312" s="84"/>
      <c r="K312" s="84"/>
      <c r="L312" s="209"/>
      <c r="M312" s="83"/>
    </row>
    <row r="313" spans="1:13" s="6" customFormat="1" ht="15" customHeight="1" x14ac:dyDescent="0.3">
      <c r="A313" s="136"/>
      <c r="B313" s="142"/>
      <c r="C313" s="86"/>
      <c r="D313" s="84"/>
      <c r="E313" s="84"/>
      <c r="F313" s="84"/>
      <c r="G313" s="80"/>
      <c r="H313" s="78"/>
      <c r="I313" s="84"/>
      <c r="J313" s="84"/>
      <c r="K313" s="84"/>
      <c r="L313" s="209"/>
      <c r="M313" s="83"/>
    </row>
    <row r="314" spans="1:13" s="6" customFormat="1" ht="15" customHeight="1" x14ac:dyDescent="0.3">
      <c r="A314" s="136"/>
      <c r="B314" s="142"/>
      <c r="C314" s="86"/>
      <c r="D314" s="84"/>
      <c r="E314" s="84"/>
      <c r="F314" s="84"/>
      <c r="G314" s="80"/>
      <c r="H314" s="78"/>
      <c r="I314" s="84"/>
      <c r="J314" s="84"/>
      <c r="K314" s="84"/>
      <c r="L314" s="209"/>
      <c r="M314" s="83"/>
    </row>
    <row r="315" spans="1:13" s="6" customFormat="1" ht="15" customHeight="1" x14ac:dyDescent="0.3">
      <c r="A315" s="136"/>
      <c r="B315" s="142"/>
      <c r="C315" s="86"/>
      <c r="D315" s="84"/>
      <c r="E315" s="84"/>
      <c r="F315" s="84"/>
      <c r="G315" s="80"/>
      <c r="H315" s="78"/>
      <c r="I315" s="84"/>
      <c r="J315" s="84"/>
      <c r="K315" s="84"/>
      <c r="L315" s="209"/>
      <c r="M315" s="83"/>
    </row>
    <row r="316" spans="1:13" s="6" customFormat="1" ht="15" customHeight="1" x14ac:dyDescent="0.3">
      <c r="A316" s="136"/>
      <c r="B316" s="142"/>
      <c r="C316" s="86"/>
      <c r="D316" s="84"/>
      <c r="E316" s="84"/>
      <c r="F316" s="84"/>
      <c r="G316" s="80"/>
      <c r="H316" s="78"/>
      <c r="I316" s="84"/>
      <c r="J316" s="84"/>
      <c r="K316" s="84"/>
      <c r="L316" s="209"/>
      <c r="M316" s="83"/>
    </row>
    <row r="317" spans="1:13" s="6" customFormat="1" ht="15" customHeight="1" x14ac:dyDescent="0.3">
      <c r="A317" s="136"/>
      <c r="B317" s="142"/>
      <c r="C317" s="86"/>
      <c r="D317" s="84"/>
      <c r="E317" s="84"/>
      <c r="F317" s="84"/>
      <c r="G317" s="80"/>
      <c r="H317" s="78"/>
      <c r="I317" s="84"/>
      <c r="J317" s="84"/>
      <c r="K317" s="84"/>
      <c r="L317" s="209"/>
      <c r="M317" s="83"/>
    </row>
    <row r="318" spans="1:13" s="6" customFormat="1" ht="15" customHeight="1" x14ac:dyDescent="0.3">
      <c r="A318" s="136"/>
      <c r="B318" s="142"/>
      <c r="C318" s="86"/>
      <c r="D318" s="84"/>
      <c r="E318" s="84"/>
      <c r="F318" s="84"/>
      <c r="G318" s="80"/>
      <c r="H318" s="78"/>
      <c r="I318" s="84"/>
      <c r="J318" s="84"/>
      <c r="K318" s="84"/>
      <c r="L318" s="209"/>
      <c r="M318" s="83"/>
    </row>
    <row r="319" spans="1:13" s="6" customFormat="1" ht="15" customHeight="1" x14ac:dyDescent="0.3">
      <c r="A319" s="136"/>
      <c r="B319" s="142"/>
      <c r="C319" s="86"/>
      <c r="D319" s="84"/>
      <c r="E319" s="84"/>
      <c r="F319" s="84"/>
      <c r="G319" s="80"/>
      <c r="H319" s="78"/>
      <c r="I319" s="84"/>
      <c r="J319" s="84"/>
      <c r="K319" s="84"/>
      <c r="L319" s="209"/>
      <c r="M319" s="83"/>
    </row>
    <row r="320" spans="1:13" s="6" customFormat="1" ht="15" customHeight="1" x14ac:dyDescent="0.3">
      <c r="A320" s="136"/>
      <c r="B320" s="142"/>
      <c r="C320" s="86"/>
      <c r="D320" s="84"/>
      <c r="E320" s="84"/>
      <c r="F320" s="84"/>
      <c r="G320" s="80"/>
      <c r="H320" s="78"/>
      <c r="I320" s="84"/>
      <c r="J320" s="84"/>
      <c r="K320" s="84"/>
      <c r="L320" s="209"/>
      <c r="M320" s="83"/>
    </row>
    <row r="321" spans="1:13" s="6" customFormat="1" ht="15" customHeight="1" x14ac:dyDescent="0.3">
      <c r="A321" s="136"/>
      <c r="B321" s="142"/>
      <c r="C321" s="86"/>
      <c r="D321" s="84"/>
      <c r="E321" s="84"/>
      <c r="F321" s="84"/>
      <c r="G321" s="80"/>
      <c r="H321" s="78"/>
      <c r="I321" s="84"/>
      <c r="J321" s="84"/>
      <c r="K321" s="84"/>
      <c r="L321" s="209"/>
      <c r="M321" s="83"/>
    </row>
    <row r="322" spans="1:13" s="6" customFormat="1" ht="15" customHeight="1" x14ac:dyDescent="0.3">
      <c r="A322" s="136"/>
      <c r="B322" s="142"/>
      <c r="C322" s="86"/>
      <c r="D322" s="84"/>
      <c r="E322" s="84"/>
      <c r="F322" s="84"/>
      <c r="G322" s="80"/>
      <c r="H322" s="78"/>
      <c r="I322" s="84"/>
      <c r="J322" s="84"/>
      <c r="K322" s="84"/>
      <c r="L322" s="209"/>
      <c r="M322" s="83"/>
    </row>
    <row r="323" spans="1:13" s="6" customFormat="1" ht="15" customHeight="1" x14ac:dyDescent="0.3">
      <c r="A323" s="136"/>
      <c r="B323" s="142"/>
      <c r="C323" s="86"/>
      <c r="D323" s="84"/>
      <c r="E323" s="84"/>
      <c r="F323" s="84"/>
      <c r="G323" s="80"/>
      <c r="H323" s="78"/>
      <c r="I323" s="84"/>
      <c r="J323" s="84"/>
      <c r="K323" s="84"/>
      <c r="L323" s="209"/>
      <c r="M323" s="83"/>
    </row>
    <row r="324" spans="1:13" s="6" customFormat="1" ht="15" customHeight="1" x14ac:dyDescent="0.3">
      <c r="A324" s="136"/>
      <c r="B324" s="142"/>
      <c r="C324" s="86"/>
      <c r="D324" s="84"/>
      <c r="E324" s="84"/>
      <c r="F324" s="84"/>
      <c r="G324" s="80"/>
      <c r="H324" s="78"/>
      <c r="I324" s="84"/>
      <c r="J324" s="84"/>
      <c r="K324" s="84"/>
      <c r="L324" s="209"/>
      <c r="M324" s="83"/>
    </row>
    <row r="325" spans="1:13" s="6" customFormat="1" ht="15" customHeight="1" x14ac:dyDescent="0.3">
      <c r="A325" s="136"/>
      <c r="B325" s="142"/>
      <c r="C325" s="86"/>
      <c r="D325" s="84"/>
      <c r="E325" s="84"/>
      <c r="F325" s="84"/>
      <c r="G325" s="80"/>
      <c r="H325" s="78"/>
      <c r="I325" s="84"/>
      <c r="J325" s="84"/>
      <c r="K325" s="84"/>
      <c r="L325" s="209"/>
      <c r="M325" s="83"/>
    </row>
    <row r="326" spans="1:13" s="6" customFormat="1" ht="15" customHeight="1" x14ac:dyDescent="0.3">
      <c r="A326" s="136"/>
      <c r="B326" s="142"/>
      <c r="C326" s="86"/>
      <c r="D326" s="84"/>
      <c r="E326" s="84"/>
      <c r="F326" s="84"/>
      <c r="G326" s="80"/>
      <c r="H326" s="78"/>
      <c r="I326" s="84"/>
      <c r="J326" s="84"/>
      <c r="K326" s="84"/>
      <c r="L326" s="209"/>
      <c r="M326" s="83"/>
    </row>
    <row r="327" spans="1:13" s="6" customFormat="1" ht="15" customHeight="1" x14ac:dyDescent="0.3">
      <c r="A327" s="136"/>
      <c r="B327" s="142"/>
      <c r="C327" s="86"/>
      <c r="D327" s="84"/>
      <c r="E327" s="84"/>
      <c r="F327" s="84"/>
      <c r="G327" s="80"/>
      <c r="H327" s="78"/>
      <c r="I327" s="84"/>
      <c r="J327" s="84"/>
      <c r="K327" s="84"/>
      <c r="L327" s="209"/>
      <c r="M327" s="83"/>
    </row>
    <row r="328" spans="1:13" s="6" customFormat="1" ht="15" customHeight="1" x14ac:dyDescent="0.3">
      <c r="A328" s="136"/>
      <c r="B328" s="142"/>
      <c r="C328" s="86"/>
      <c r="D328" s="84"/>
      <c r="E328" s="84"/>
      <c r="F328" s="84"/>
      <c r="G328" s="80"/>
      <c r="H328" s="78"/>
      <c r="I328" s="84"/>
      <c r="J328" s="84"/>
      <c r="K328" s="84"/>
      <c r="L328" s="209"/>
      <c r="M328" s="83"/>
    </row>
    <row r="329" spans="1:13" s="6" customFormat="1" ht="15" customHeight="1" x14ac:dyDescent="0.3">
      <c r="A329" s="136"/>
      <c r="B329" s="142"/>
      <c r="C329" s="86"/>
      <c r="D329" s="84"/>
      <c r="E329" s="84"/>
      <c r="F329" s="84"/>
      <c r="G329" s="80"/>
      <c r="H329" s="78"/>
      <c r="I329" s="84"/>
      <c r="J329" s="84"/>
      <c r="K329" s="84"/>
      <c r="L329" s="209"/>
      <c r="M329" s="83"/>
    </row>
    <row r="330" spans="1:13" s="6" customFormat="1" ht="15" customHeight="1" x14ac:dyDescent="0.3">
      <c r="A330" s="136"/>
      <c r="B330" s="142"/>
      <c r="C330" s="86"/>
      <c r="D330" s="84"/>
      <c r="E330" s="84"/>
      <c r="F330" s="84"/>
      <c r="G330" s="80"/>
      <c r="H330" s="78"/>
      <c r="I330" s="84"/>
      <c r="J330" s="84"/>
      <c r="K330" s="84"/>
      <c r="L330" s="209"/>
      <c r="M330" s="83"/>
    </row>
    <row r="331" spans="1:13" s="6" customFormat="1" ht="15" customHeight="1" x14ac:dyDescent="0.3">
      <c r="A331" s="136"/>
      <c r="B331" s="142"/>
      <c r="C331" s="86"/>
      <c r="D331" s="84"/>
      <c r="E331" s="84"/>
      <c r="F331" s="84"/>
      <c r="G331" s="80"/>
      <c r="H331" s="78"/>
      <c r="I331" s="84"/>
      <c r="J331" s="84"/>
      <c r="K331" s="84"/>
      <c r="L331" s="209"/>
      <c r="M331" s="83"/>
    </row>
    <row r="332" spans="1:13" s="6" customFormat="1" ht="15" customHeight="1" x14ac:dyDescent="0.3">
      <c r="A332" s="136"/>
      <c r="B332" s="142"/>
      <c r="C332" s="86"/>
      <c r="D332" s="84"/>
      <c r="E332" s="84"/>
      <c r="F332" s="84"/>
      <c r="G332" s="80"/>
      <c r="H332" s="78"/>
      <c r="I332" s="84"/>
      <c r="J332" s="84"/>
      <c r="K332" s="84"/>
      <c r="L332" s="209"/>
      <c r="M332" s="83"/>
    </row>
    <row r="333" spans="1:13" s="6" customFormat="1" ht="15" customHeight="1" x14ac:dyDescent="0.3">
      <c r="A333" s="136"/>
      <c r="B333" s="142"/>
      <c r="C333" s="86"/>
      <c r="D333" s="84"/>
      <c r="E333" s="84"/>
      <c r="F333" s="84"/>
      <c r="G333" s="80"/>
      <c r="H333" s="78"/>
      <c r="I333" s="84"/>
      <c r="J333" s="84"/>
      <c r="K333" s="84"/>
      <c r="L333" s="209"/>
      <c r="M333" s="83"/>
    </row>
    <row r="334" spans="1:13" s="6" customFormat="1" ht="15" customHeight="1" x14ac:dyDescent="0.3">
      <c r="A334" s="136"/>
      <c r="B334" s="142"/>
      <c r="C334" s="86"/>
      <c r="D334" s="84"/>
      <c r="E334" s="84"/>
      <c r="F334" s="84"/>
      <c r="G334" s="80"/>
      <c r="H334" s="78"/>
      <c r="I334" s="84"/>
      <c r="J334" s="84"/>
      <c r="K334" s="84"/>
      <c r="L334" s="209"/>
      <c r="M334" s="83"/>
    </row>
    <row r="335" spans="1:13" s="6" customFormat="1" ht="15" customHeight="1" x14ac:dyDescent="0.3">
      <c r="A335" s="136"/>
      <c r="B335" s="142"/>
      <c r="C335" s="86"/>
      <c r="D335" s="84"/>
      <c r="E335" s="84"/>
      <c r="F335" s="84"/>
      <c r="G335" s="80"/>
      <c r="H335" s="78"/>
      <c r="I335" s="84"/>
      <c r="J335" s="84"/>
      <c r="K335" s="84"/>
      <c r="L335" s="209"/>
      <c r="M335" s="83"/>
    </row>
    <row r="336" spans="1:13" s="6" customFormat="1" ht="15" customHeight="1" x14ac:dyDescent="0.3">
      <c r="A336" s="136"/>
      <c r="B336" s="142"/>
      <c r="C336" s="86"/>
      <c r="D336" s="84"/>
      <c r="E336" s="84"/>
      <c r="F336" s="84"/>
      <c r="G336" s="80"/>
      <c r="H336" s="78"/>
      <c r="I336" s="84"/>
      <c r="J336" s="84"/>
      <c r="K336" s="84"/>
      <c r="L336" s="209"/>
      <c r="M336" s="83"/>
    </row>
    <row r="337" spans="1:13" s="6" customFormat="1" ht="15" customHeight="1" x14ac:dyDescent="0.3">
      <c r="A337" s="136"/>
      <c r="B337" s="142"/>
      <c r="C337" s="86"/>
      <c r="D337" s="84"/>
      <c r="E337" s="84"/>
      <c r="F337" s="84"/>
      <c r="G337" s="80"/>
      <c r="H337" s="78"/>
      <c r="I337" s="84"/>
      <c r="J337" s="84"/>
      <c r="K337" s="84"/>
      <c r="L337" s="209"/>
      <c r="M337" s="83"/>
    </row>
    <row r="338" spans="1:13" s="6" customFormat="1" ht="15" customHeight="1" x14ac:dyDescent="0.3">
      <c r="A338" s="136"/>
      <c r="B338" s="142"/>
      <c r="C338" s="86"/>
      <c r="D338" s="84"/>
      <c r="E338" s="84"/>
      <c r="F338" s="84"/>
      <c r="G338" s="80"/>
      <c r="H338" s="78"/>
      <c r="I338" s="84"/>
      <c r="J338" s="84"/>
      <c r="K338" s="84"/>
      <c r="L338" s="209"/>
      <c r="M338" s="83"/>
    </row>
    <row r="339" spans="1:13" s="6" customFormat="1" ht="15" customHeight="1" x14ac:dyDescent="0.3">
      <c r="A339" s="136"/>
      <c r="B339" s="142"/>
      <c r="C339" s="86"/>
      <c r="D339" s="84"/>
      <c r="E339" s="84"/>
      <c r="F339" s="84"/>
      <c r="G339" s="80"/>
      <c r="H339" s="78"/>
      <c r="I339" s="84"/>
      <c r="J339" s="84"/>
      <c r="K339" s="84"/>
      <c r="L339" s="209"/>
      <c r="M339" s="83"/>
    </row>
    <row r="340" spans="1:13" s="6" customFormat="1" ht="15" customHeight="1" x14ac:dyDescent="0.3">
      <c r="A340" s="136"/>
      <c r="B340" s="142"/>
      <c r="C340" s="86"/>
      <c r="D340" s="84"/>
      <c r="E340" s="84"/>
      <c r="F340" s="84"/>
      <c r="G340" s="80"/>
      <c r="H340" s="78"/>
      <c r="I340" s="84"/>
      <c r="J340" s="84"/>
      <c r="K340" s="84"/>
      <c r="L340" s="209"/>
      <c r="M340" s="83"/>
    </row>
    <row r="341" spans="1:13" s="6" customFormat="1" ht="15" customHeight="1" x14ac:dyDescent="0.3">
      <c r="A341" s="136"/>
      <c r="B341" s="142"/>
      <c r="C341" s="86"/>
      <c r="D341" s="84"/>
      <c r="E341" s="84"/>
      <c r="F341" s="84"/>
      <c r="G341" s="80"/>
      <c r="H341" s="78"/>
      <c r="I341" s="84"/>
      <c r="J341" s="84"/>
      <c r="K341" s="84"/>
      <c r="L341" s="209"/>
      <c r="M341" s="83"/>
    </row>
    <row r="342" spans="1:13" s="6" customFormat="1" ht="15" customHeight="1" x14ac:dyDescent="0.3">
      <c r="A342" s="136"/>
      <c r="B342" s="142"/>
      <c r="C342" s="86"/>
      <c r="D342" s="84"/>
      <c r="E342" s="84"/>
      <c r="F342" s="84"/>
      <c r="G342" s="80"/>
      <c r="H342" s="78"/>
      <c r="I342" s="84"/>
      <c r="J342" s="84"/>
      <c r="K342" s="84"/>
      <c r="L342" s="209"/>
      <c r="M342" s="83"/>
    </row>
    <row r="343" spans="1:13" s="6" customFormat="1" ht="15" customHeight="1" x14ac:dyDescent="0.3">
      <c r="A343" s="136"/>
      <c r="B343" s="142"/>
      <c r="C343" s="86"/>
      <c r="D343" s="84"/>
      <c r="E343" s="84"/>
      <c r="F343" s="84"/>
      <c r="G343" s="80"/>
      <c r="H343" s="78"/>
      <c r="I343" s="84"/>
      <c r="J343" s="84"/>
      <c r="K343" s="84"/>
      <c r="L343" s="209"/>
      <c r="M343" s="83"/>
    </row>
    <row r="344" spans="1:13" s="6" customFormat="1" ht="15" customHeight="1" x14ac:dyDescent="0.3">
      <c r="A344" s="136"/>
      <c r="B344" s="142"/>
      <c r="C344" s="86"/>
      <c r="D344" s="84"/>
      <c r="E344" s="84"/>
      <c r="F344" s="84"/>
      <c r="G344" s="80"/>
      <c r="H344" s="78"/>
      <c r="I344" s="84"/>
      <c r="J344" s="84"/>
      <c r="K344" s="84"/>
      <c r="L344" s="209"/>
      <c r="M344" s="83"/>
    </row>
    <row r="345" spans="1:13" s="6" customFormat="1" ht="15" customHeight="1" x14ac:dyDescent="0.3">
      <c r="A345" s="136"/>
      <c r="B345" s="142"/>
      <c r="C345" s="86"/>
      <c r="D345" s="84"/>
      <c r="E345" s="84"/>
      <c r="F345" s="84"/>
      <c r="G345" s="80"/>
      <c r="H345" s="78"/>
      <c r="I345" s="84"/>
      <c r="J345" s="84"/>
      <c r="K345" s="84"/>
      <c r="L345" s="209"/>
      <c r="M345" s="83"/>
    </row>
    <row r="346" spans="1:13" s="6" customFormat="1" ht="15" customHeight="1" x14ac:dyDescent="0.3">
      <c r="A346" s="136"/>
      <c r="B346" s="142"/>
      <c r="C346" s="86"/>
      <c r="D346" s="84"/>
      <c r="E346" s="84"/>
      <c r="F346" s="84"/>
      <c r="G346" s="80"/>
      <c r="H346" s="78"/>
      <c r="I346" s="84"/>
      <c r="J346" s="84"/>
      <c r="K346" s="84"/>
      <c r="L346" s="209"/>
      <c r="M346" s="83"/>
    </row>
    <row r="347" spans="1:13" s="6" customFormat="1" ht="15" customHeight="1" x14ac:dyDescent="0.3">
      <c r="A347" s="136"/>
      <c r="B347" s="142"/>
      <c r="C347" s="86"/>
      <c r="D347" s="84"/>
      <c r="E347" s="84"/>
      <c r="F347" s="84"/>
      <c r="G347" s="80"/>
      <c r="H347" s="78"/>
      <c r="I347" s="84"/>
      <c r="J347" s="84"/>
      <c r="K347" s="84"/>
      <c r="L347" s="209"/>
      <c r="M347" s="83"/>
    </row>
    <row r="348" spans="1:13" s="6" customFormat="1" ht="15" customHeight="1" x14ac:dyDescent="0.3">
      <c r="A348" s="136"/>
      <c r="B348" s="142"/>
      <c r="C348" s="86"/>
      <c r="D348" s="84"/>
      <c r="E348" s="84"/>
      <c r="F348" s="84"/>
      <c r="G348" s="80"/>
      <c r="H348" s="78"/>
      <c r="I348" s="84"/>
      <c r="J348" s="84"/>
      <c r="K348" s="84"/>
      <c r="L348" s="209"/>
      <c r="M348" s="83"/>
    </row>
    <row r="349" spans="1:13" s="6" customFormat="1" ht="15" customHeight="1" x14ac:dyDescent="0.3">
      <c r="A349" s="136"/>
      <c r="B349" s="142"/>
      <c r="C349" s="86"/>
      <c r="D349" s="84"/>
      <c r="E349" s="84"/>
      <c r="F349" s="84"/>
      <c r="G349" s="80"/>
      <c r="H349" s="78"/>
      <c r="I349" s="84"/>
      <c r="J349" s="84"/>
      <c r="K349" s="84"/>
      <c r="L349" s="209"/>
      <c r="M349" s="83"/>
    </row>
    <row r="350" spans="1:13" s="6" customFormat="1" ht="15" customHeight="1" x14ac:dyDescent="0.3">
      <c r="A350" s="136"/>
      <c r="B350" s="142"/>
      <c r="C350" s="86"/>
      <c r="D350" s="84"/>
      <c r="E350" s="84"/>
      <c r="F350" s="84"/>
      <c r="G350" s="80"/>
      <c r="H350" s="78"/>
      <c r="I350" s="84"/>
      <c r="J350" s="84"/>
      <c r="K350" s="84"/>
      <c r="L350" s="209"/>
      <c r="M350" s="83"/>
    </row>
    <row r="351" spans="1:13" s="6" customFormat="1" ht="15" customHeight="1" x14ac:dyDescent="0.3">
      <c r="A351" s="136"/>
      <c r="B351" s="142"/>
      <c r="C351" s="86"/>
      <c r="D351" s="84"/>
      <c r="E351" s="84"/>
      <c r="F351" s="84"/>
      <c r="G351" s="80"/>
      <c r="H351" s="78"/>
      <c r="I351" s="84"/>
      <c r="J351" s="84"/>
      <c r="K351" s="84"/>
      <c r="L351" s="209"/>
      <c r="M351" s="83"/>
    </row>
    <row r="352" spans="1:13" s="6" customFormat="1" ht="15" customHeight="1" x14ac:dyDescent="0.3">
      <c r="A352" s="136"/>
      <c r="B352" s="142"/>
      <c r="C352" s="86"/>
      <c r="D352" s="84"/>
      <c r="E352" s="84"/>
      <c r="F352" s="84"/>
      <c r="G352" s="80"/>
      <c r="H352" s="78"/>
      <c r="I352" s="84"/>
      <c r="J352" s="84"/>
      <c r="K352" s="84"/>
      <c r="L352" s="209"/>
      <c r="M352" s="83"/>
    </row>
    <row r="353" spans="1:13" s="6" customFormat="1" ht="15" customHeight="1" x14ac:dyDescent="0.3">
      <c r="A353" s="136"/>
      <c r="B353" s="142"/>
      <c r="C353" s="86"/>
      <c r="D353" s="84"/>
      <c r="E353" s="84"/>
      <c r="F353" s="84"/>
      <c r="G353" s="80"/>
      <c r="H353" s="78"/>
      <c r="I353" s="84"/>
      <c r="J353" s="84"/>
      <c r="K353" s="84"/>
      <c r="L353" s="209"/>
      <c r="M353" s="83"/>
    </row>
    <row r="354" spans="1:13" s="6" customFormat="1" ht="15" customHeight="1" x14ac:dyDescent="0.3">
      <c r="A354" s="136"/>
      <c r="B354" s="142"/>
      <c r="C354" s="86"/>
      <c r="D354" s="84"/>
      <c r="E354" s="84"/>
      <c r="F354" s="84"/>
      <c r="G354" s="80"/>
      <c r="H354" s="78"/>
      <c r="I354" s="84"/>
      <c r="J354" s="84"/>
      <c r="K354" s="84"/>
      <c r="L354" s="209"/>
      <c r="M354" s="83"/>
    </row>
    <row r="355" spans="1:13" s="6" customFormat="1" ht="15" customHeight="1" x14ac:dyDescent="0.3">
      <c r="A355" s="136"/>
      <c r="B355" s="142"/>
      <c r="C355" s="86"/>
      <c r="D355" s="84"/>
      <c r="E355" s="84"/>
      <c r="F355" s="84"/>
      <c r="G355" s="80"/>
      <c r="H355" s="78"/>
      <c r="I355" s="84"/>
      <c r="J355" s="84"/>
      <c r="K355" s="84"/>
      <c r="L355" s="209"/>
      <c r="M355" s="83"/>
    </row>
    <row r="356" spans="1:13" s="6" customFormat="1" ht="15" customHeight="1" x14ac:dyDescent="0.3">
      <c r="A356" s="136"/>
      <c r="B356" s="142"/>
      <c r="C356" s="86"/>
      <c r="D356" s="84"/>
      <c r="E356" s="84"/>
      <c r="F356" s="84"/>
      <c r="G356" s="80"/>
      <c r="H356" s="78"/>
      <c r="I356" s="84"/>
      <c r="J356" s="84"/>
      <c r="K356" s="84"/>
      <c r="L356" s="209"/>
      <c r="M356" s="83"/>
    </row>
    <row r="357" spans="1:13" s="6" customFormat="1" ht="15" customHeight="1" x14ac:dyDescent="0.3">
      <c r="A357" s="136"/>
      <c r="B357" s="142"/>
      <c r="C357" s="86"/>
      <c r="D357" s="84"/>
      <c r="E357" s="84"/>
      <c r="F357" s="84"/>
      <c r="G357" s="80"/>
      <c r="H357" s="78"/>
      <c r="I357" s="84"/>
      <c r="J357" s="84"/>
      <c r="K357" s="84"/>
      <c r="L357" s="209"/>
      <c r="M357" s="83"/>
    </row>
    <row r="358" spans="1:13" s="6" customFormat="1" ht="15" customHeight="1" x14ac:dyDescent="0.3">
      <c r="A358" s="136"/>
      <c r="B358" s="142"/>
      <c r="C358" s="86"/>
      <c r="D358" s="84"/>
      <c r="E358" s="84"/>
      <c r="F358" s="84"/>
      <c r="G358" s="80"/>
      <c r="H358" s="78"/>
      <c r="I358" s="84"/>
      <c r="J358" s="84"/>
      <c r="K358" s="84"/>
      <c r="L358" s="209"/>
      <c r="M358" s="83"/>
    </row>
    <row r="359" spans="1:13" s="6" customFormat="1" ht="15" customHeight="1" x14ac:dyDescent="0.3">
      <c r="A359" s="136"/>
      <c r="B359" s="142"/>
      <c r="C359" s="86"/>
      <c r="D359" s="84"/>
      <c r="E359" s="84"/>
      <c r="F359" s="84"/>
      <c r="G359" s="80"/>
      <c r="H359" s="78"/>
      <c r="I359" s="84"/>
      <c r="J359" s="84"/>
      <c r="K359" s="84"/>
      <c r="L359" s="209"/>
      <c r="M359" s="83"/>
    </row>
    <row r="360" spans="1:13" s="6" customFormat="1" ht="15" customHeight="1" x14ac:dyDescent="0.3">
      <c r="A360" s="136"/>
      <c r="B360" s="142"/>
      <c r="C360" s="86"/>
      <c r="D360" s="84"/>
      <c r="E360" s="84"/>
      <c r="F360" s="84"/>
      <c r="G360" s="80"/>
      <c r="H360" s="78"/>
      <c r="I360" s="84"/>
      <c r="J360" s="84"/>
      <c r="K360" s="84"/>
      <c r="L360" s="209"/>
      <c r="M360" s="83"/>
    </row>
    <row r="361" spans="1:13" s="6" customFormat="1" ht="15" customHeight="1" x14ac:dyDescent="0.3">
      <c r="A361" s="136"/>
      <c r="B361" s="142"/>
      <c r="C361" s="86"/>
      <c r="D361" s="84"/>
      <c r="E361" s="84"/>
      <c r="F361" s="84"/>
      <c r="G361" s="80"/>
      <c r="H361" s="78"/>
      <c r="I361" s="84"/>
      <c r="J361" s="84"/>
      <c r="K361" s="84"/>
      <c r="L361" s="209"/>
      <c r="M361" s="83"/>
    </row>
    <row r="362" spans="1:13" s="6" customFormat="1" ht="15" customHeight="1" x14ac:dyDescent="0.3">
      <c r="A362" s="136"/>
      <c r="B362" s="142"/>
      <c r="C362" s="86"/>
      <c r="D362" s="84"/>
      <c r="E362" s="84"/>
      <c r="F362" s="84"/>
      <c r="G362" s="80"/>
      <c r="H362" s="78"/>
      <c r="I362" s="84"/>
      <c r="J362" s="84"/>
      <c r="K362" s="84"/>
      <c r="L362" s="209"/>
      <c r="M362" s="83"/>
    </row>
    <row r="363" spans="1:13" s="6" customFormat="1" ht="15" customHeight="1" x14ac:dyDescent="0.3">
      <c r="A363" s="136"/>
      <c r="B363" s="142"/>
      <c r="C363" s="86"/>
      <c r="D363" s="84"/>
      <c r="E363" s="84"/>
      <c r="F363" s="84"/>
      <c r="G363" s="80"/>
      <c r="H363" s="78"/>
      <c r="I363" s="84"/>
      <c r="J363" s="84"/>
      <c r="K363" s="84"/>
      <c r="L363" s="209"/>
      <c r="M363" s="83"/>
    </row>
    <row r="364" spans="1:13" s="6" customFormat="1" ht="15" customHeight="1" x14ac:dyDescent="0.3">
      <c r="A364" s="136"/>
      <c r="B364" s="142"/>
      <c r="C364" s="86"/>
      <c r="D364" s="84"/>
      <c r="E364" s="84"/>
      <c r="F364" s="84"/>
      <c r="G364" s="80"/>
      <c r="H364" s="78"/>
      <c r="I364" s="84"/>
      <c r="J364" s="84"/>
      <c r="K364" s="84"/>
      <c r="L364" s="209"/>
      <c r="M364" s="83"/>
    </row>
    <row r="365" spans="1:13" s="6" customFormat="1" ht="15" customHeight="1" x14ac:dyDescent="0.3">
      <c r="A365" s="136"/>
      <c r="B365" s="142"/>
      <c r="C365" s="86"/>
      <c r="D365" s="84"/>
      <c r="E365" s="84"/>
      <c r="F365" s="84"/>
      <c r="G365" s="80"/>
      <c r="H365" s="78"/>
      <c r="I365" s="84"/>
      <c r="J365" s="84"/>
      <c r="K365" s="84"/>
      <c r="L365" s="209"/>
      <c r="M365" s="83"/>
    </row>
    <row r="366" spans="1:13" s="6" customFormat="1" ht="15" customHeight="1" x14ac:dyDescent="0.3">
      <c r="A366" s="136"/>
      <c r="B366" s="142"/>
      <c r="C366" s="86"/>
      <c r="D366" s="84"/>
      <c r="E366" s="84"/>
      <c r="F366" s="84"/>
      <c r="G366" s="80"/>
      <c r="H366" s="78"/>
      <c r="I366" s="84"/>
      <c r="J366" s="84"/>
      <c r="K366" s="84"/>
      <c r="L366" s="209"/>
      <c r="M366" s="83"/>
    </row>
    <row r="367" spans="1:13" s="6" customFormat="1" ht="15" customHeight="1" x14ac:dyDescent="0.3">
      <c r="A367" s="136"/>
      <c r="B367" s="142"/>
      <c r="C367" s="86"/>
      <c r="D367" s="84"/>
      <c r="E367" s="84"/>
      <c r="F367" s="84"/>
      <c r="G367" s="80"/>
      <c r="H367" s="78"/>
      <c r="I367" s="84"/>
      <c r="J367" s="84"/>
      <c r="K367" s="84"/>
      <c r="L367" s="209"/>
      <c r="M367" s="83"/>
    </row>
    <row r="368" spans="1:13" s="6" customFormat="1" ht="15" customHeight="1" x14ac:dyDescent="0.3">
      <c r="A368" s="136"/>
      <c r="B368" s="142"/>
      <c r="C368" s="86"/>
      <c r="D368" s="84"/>
      <c r="E368" s="84"/>
      <c r="F368" s="84"/>
      <c r="G368" s="80"/>
      <c r="H368" s="78"/>
      <c r="I368" s="84"/>
      <c r="J368" s="84"/>
      <c r="K368" s="84"/>
      <c r="L368" s="209"/>
      <c r="M368" s="83"/>
    </row>
    <row r="369" spans="1:13" s="6" customFormat="1" ht="15" customHeight="1" x14ac:dyDescent="0.3">
      <c r="A369" s="136"/>
      <c r="B369" s="142"/>
      <c r="C369" s="86"/>
      <c r="D369" s="84"/>
      <c r="E369" s="84"/>
      <c r="F369" s="84"/>
      <c r="G369" s="80"/>
      <c r="H369" s="78"/>
      <c r="I369" s="84"/>
      <c r="J369" s="84"/>
      <c r="K369" s="84"/>
      <c r="L369" s="209"/>
      <c r="M369" s="83"/>
    </row>
    <row r="370" spans="1:13" s="6" customFormat="1" ht="15" customHeight="1" x14ac:dyDescent="0.3">
      <c r="A370" s="136"/>
      <c r="B370" s="142"/>
      <c r="C370" s="86"/>
      <c r="D370" s="84"/>
      <c r="E370" s="84"/>
      <c r="F370" s="84"/>
      <c r="G370" s="80"/>
      <c r="H370" s="78"/>
      <c r="I370" s="84"/>
      <c r="J370" s="84"/>
      <c r="K370" s="84"/>
      <c r="L370" s="209"/>
      <c r="M370" s="83"/>
    </row>
    <row r="371" spans="1:13" s="6" customFormat="1" ht="15" customHeight="1" x14ac:dyDescent="0.3">
      <c r="A371" s="136"/>
      <c r="B371" s="142"/>
      <c r="C371" s="86"/>
      <c r="D371" s="84"/>
      <c r="E371" s="84"/>
      <c r="F371" s="84"/>
      <c r="G371" s="80"/>
      <c r="H371" s="78"/>
      <c r="I371" s="84"/>
      <c r="J371" s="84"/>
      <c r="K371" s="84"/>
      <c r="L371" s="209"/>
      <c r="M371" s="83"/>
    </row>
    <row r="372" spans="1:13" s="6" customFormat="1" ht="15" customHeight="1" x14ac:dyDescent="0.3">
      <c r="A372" s="136"/>
      <c r="B372" s="142"/>
      <c r="C372" s="86"/>
      <c r="D372" s="84"/>
      <c r="E372" s="84"/>
      <c r="F372" s="84"/>
      <c r="G372" s="80"/>
      <c r="H372" s="78"/>
      <c r="I372" s="84"/>
      <c r="J372" s="84"/>
      <c r="K372" s="84"/>
      <c r="L372" s="209"/>
      <c r="M372" s="83"/>
    </row>
    <row r="373" spans="1:13" s="6" customFormat="1" ht="15" customHeight="1" x14ac:dyDescent="0.3">
      <c r="A373" s="136"/>
      <c r="B373" s="142"/>
      <c r="C373" s="86"/>
      <c r="D373" s="84"/>
      <c r="E373" s="84"/>
      <c r="F373" s="84"/>
      <c r="G373" s="80"/>
      <c r="H373" s="78"/>
      <c r="I373" s="84"/>
      <c r="J373" s="84"/>
      <c r="K373" s="84"/>
      <c r="L373" s="209"/>
      <c r="M373" s="83"/>
    </row>
    <row r="374" spans="1:13" s="6" customFormat="1" ht="15" customHeight="1" x14ac:dyDescent="0.3">
      <c r="A374" s="136"/>
      <c r="B374" s="142"/>
      <c r="C374" s="86"/>
      <c r="D374" s="84"/>
      <c r="E374" s="84"/>
      <c r="F374" s="84"/>
      <c r="G374" s="80"/>
      <c r="H374" s="78"/>
      <c r="I374" s="84"/>
      <c r="J374" s="84"/>
      <c r="K374" s="84"/>
      <c r="L374" s="209"/>
      <c r="M374" s="83"/>
    </row>
    <row r="375" spans="1:13" s="6" customFormat="1" ht="15" customHeight="1" x14ac:dyDescent="0.3">
      <c r="A375" s="136"/>
      <c r="B375" s="142"/>
      <c r="C375" s="86"/>
      <c r="D375" s="84"/>
      <c r="E375" s="84"/>
      <c r="F375" s="84"/>
      <c r="G375" s="80"/>
      <c r="H375" s="78"/>
      <c r="I375" s="84"/>
      <c r="J375" s="84"/>
      <c r="K375" s="84"/>
      <c r="L375" s="209"/>
      <c r="M375" s="83"/>
    </row>
    <row r="376" spans="1:13" s="6" customFormat="1" ht="15" customHeight="1" x14ac:dyDescent="0.3">
      <c r="A376" s="136"/>
      <c r="B376" s="142"/>
      <c r="C376" s="86"/>
      <c r="D376" s="84"/>
      <c r="E376" s="84"/>
      <c r="F376" s="84"/>
      <c r="G376" s="80"/>
      <c r="H376" s="78"/>
      <c r="I376" s="84"/>
      <c r="J376" s="84"/>
      <c r="K376" s="84"/>
      <c r="L376" s="209"/>
      <c r="M376" s="83"/>
    </row>
    <row r="377" spans="1:13" s="6" customFormat="1" ht="15" customHeight="1" x14ac:dyDescent="0.3">
      <c r="A377" s="136"/>
      <c r="B377" s="142"/>
      <c r="C377" s="86"/>
      <c r="D377" s="84"/>
      <c r="E377" s="84"/>
      <c r="F377" s="84"/>
      <c r="G377" s="80"/>
      <c r="H377" s="78"/>
      <c r="I377" s="84"/>
      <c r="J377" s="84"/>
      <c r="K377" s="84"/>
      <c r="L377" s="209"/>
      <c r="M377" s="83"/>
    </row>
    <row r="378" spans="1:13" s="6" customFormat="1" ht="15" customHeight="1" x14ac:dyDescent="0.3">
      <c r="A378" s="136"/>
      <c r="B378" s="142"/>
      <c r="C378" s="86"/>
      <c r="D378" s="84"/>
      <c r="E378" s="84"/>
      <c r="F378" s="84"/>
      <c r="G378" s="80"/>
      <c r="H378" s="78"/>
      <c r="I378" s="84"/>
      <c r="J378" s="84"/>
      <c r="K378" s="84"/>
      <c r="L378" s="209"/>
      <c r="M378" s="83"/>
    </row>
    <row r="379" spans="1:13" s="6" customFormat="1" ht="15" customHeight="1" x14ac:dyDescent="0.3">
      <c r="A379" s="136"/>
      <c r="B379" s="142"/>
      <c r="C379" s="86"/>
      <c r="D379" s="84"/>
      <c r="E379" s="84"/>
      <c r="F379" s="84"/>
      <c r="G379" s="127"/>
      <c r="H379" s="78"/>
      <c r="I379" s="114"/>
      <c r="J379" s="84"/>
      <c r="K379" s="84"/>
      <c r="L379" s="209"/>
      <c r="M379" s="83"/>
    </row>
    <row r="380" spans="1:13" s="6" customFormat="1" ht="15" customHeight="1" x14ac:dyDescent="0.3">
      <c r="A380" s="136"/>
      <c r="B380" s="142"/>
      <c r="C380" s="86"/>
      <c r="D380" s="84"/>
      <c r="E380" s="84"/>
      <c r="F380" s="84"/>
      <c r="G380" s="127"/>
      <c r="H380" s="78"/>
      <c r="I380" s="114"/>
      <c r="J380" s="84"/>
      <c r="K380" s="84"/>
      <c r="L380" s="209"/>
      <c r="M380" s="83"/>
    </row>
    <row r="381" spans="1:13" s="6" customFormat="1" ht="15" customHeight="1" x14ac:dyDescent="0.3">
      <c r="A381" s="136"/>
      <c r="B381" s="142"/>
      <c r="C381" s="86"/>
      <c r="D381" s="84"/>
      <c r="E381" s="84"/>
      <c r="F381" s="84"/>
      <c r="G381" s="127"/>
      <c r="H381" s="78"/>
      <c r="I381" s="114"/>
      <c r="J381" s="84"/>
      <c r="K381" s="84"/>
      <c r="L381" s="209"/>
      <c r="M381" s="83"/>
    </row>
    <row r="382" spans="1:13" s="6" customFormat="1" ht="15" customHeight="1" x14ac:dyDescent="0.3">
      <c r="A382" s="136"/>
      <c r="B382" s="142"/>
      <c r="C382" s="86"/>
      <c r="D382" s="84"/>
      <c r="E382" s="84"/>
      <c r="F382" s="84"/>
      <c r="G382" s="127"/>
      <c r="H382" s="78"/>
      <c r="I382" s="114"/>
      <c r="J382" s="84"/>
      <c r="K382" s="84"/>
      <c r="L382" s="209"/>
      <c r="M382" s="83"/>
    </row>
    <row r="383" spans="1:13" s="6" customFormat="1" ht="15" customHeight="1" x14ac:dyDescent="0.3">
      <c r="A383" s="136"/>
      <c r="B383" s="142"/>
      <c r="C383" s="86"/>
      <c r="D383" s="84"/>
      <c r="E383" s="84"/>
      <c r="F383" s="84"/>
      <c r="G383" s="127"/>
      <c r="H383" s="78"/>
      <c r="I383" s="114"/>
      <c r="J383" s="84"/>
      <c r="K383" s="84"/>
      <c r="L383" s="209"/>
      <c r="M383" s="83"/>
    </row>
    <row r="384" spans="1:13" s="6" customFormat="1" ht="15" customHeight="1" x14ac:dyDescent="0.3">
      <c r="A384" s="136"/>
      <c r="B384" s="142"/>
      <c r="C384" s="86"/>
      <c r="D384" s="84"/>
      <c r="E384" s="84"/>
      <c r="F384" s="84"/>
      <c r="G384" s="127"/>
      <c r="H384" s="78"/>
      <c r="I384" s="114"/>
      <c r="J384" s="84"/>
      <c r="K384" s="84"/>
      <c r="L384" s="209"/>
      <c r="M384" s="83"/>
    </row>
    <row r="385" spans="1:13" s="6" customFormat="1" ht="15" customHeight="1" x14ac:dyDescent="0.3">
      <c r="A385" s="136"/>
      <c r="B385" s="142"/>
      <c r="C385" s="86"/>
      <c r="D385" s="84"/>
      <c r="E385" s="84"/>
      <c r="F385" s="84"/>
      <c r="G385" s="127"/>
      <c r="H385" s="78"/>
      <c r="I385" s="114"/>
      <c r="J385" s="84"/>
      <c r="K385" s="84"/>
      <c r="L385" s="209"/>
      <c r="M385" s="83"/>
    </row>
    <row r="386" spans="1:13" s="6" customFormat="1" ht="15" customHeight="1" x14ac:dyDescent="0.3">
      <c r="A386" s="136"/>
      <c r="B386" s="142"/>
      <c r="C386" s="86"/>
      <c r="D386" s="84"/>
      <c r="E386" s="84"/>
      <c r="F386" s="84"/>
      <c r="G386" s="127"/>
      <c r="H386" s="78"/>
      <c r="I386" s="114"/>
      <c r="J386" s="84"/>
      <c r="K386" s="84"/>
      <c r="L386" s="209"/>
      <c r="M386" s="83"/>
    </row>
    <row r="387" spans="1:13" s="6" customFormat="1" ht="15" customHeight="1" x14ac:dyDescent="0.3">
      <c r="A387" s="136"/>
      <c r="B387" s="142"/>
      <c r="C387" s="86"/>
      <c r="D387" s="84"/>
      <c r="E387" s="84"/>
      <c r="F387" s="84"/>
      <c r="G387" s="127"/>
      <c r="H387" s="78"/>
      <c r="I387" s="114"/>
      <c r="J387" s="84"/>
      <c r="K387" s="84"/>
      <c r="L387" s="209"/>
      <c r="M387" s="83"/>
    </row>
    <row r="388" spans="1:13" s="6" customFormat="1" ht="15" customHeight="1" x14ac:dyDescent="0.3">
      <c r="A388" s="136"/>
      <c r="B388" s="142"/>
      <c r="C388" s="86"/>
      <c r="D388" s="84"/>
      <c r="E388" s="84"/>
      <c r="F388" s="84"/>
      <c r="G388" s="127"/>
      <c r="H388" s="78"/>
      <c r="I388" s="114"/>
      <c r="J388" s="84"/>
      <c r="K388" s="84"/>
      <c r="L388" s="209"/>
      <c r="M388" s="83"/>
    </row>
    <row r="389" spans="1:13" s="6" customFormat="1" ht="15" customHeight="1" x14ac:dyDescent="0.3">
      <c r="A389" s="136"/>
      <c r="B389" s="142"/>
      <c r="C389" s="86"/>
      <c r="D389" s="84"/>
      <c r="E389" s="84"/>
      <c r="F389" s="84"/>
      <c r="G389" s="127"/>
      <c r="H389" s="78"/>
      <c r="I389" s="114"/>
      <c r="J389" s="84"/>
      <c r="K389" s="84"/>
      <c r="L389" s="209"/>
      <c r="M389" s="83"/>
    </row>
    <row r="390" spans="1:13" s="6" customFormat="1" ht="15" customHeight="1" x14ac:dyDescent="0.3">
      <c r="A390" s="136"/>
      <c r="B390" s="142"/>
      <c r="C390" s="86"/>
      <c r="D390" s="84"/>
      <c r="E390" s="84"/>
      <c r="F390" s="84"/>
      <c r="G390" s="127"/>
      <c r="H390" s="78"/>
      <c r="I390" s="114"/>
      <c r="J390" s="84"/>
      <c r="K390" s="84"/>
      <c r="L390" s="209"/>
      <c r="M390" s="83"/>
    </row>
    <row r="391" spans="1:13" s="6" customFormat="1" ht="15" customHeight="1" x14ac:dyDescent="0.3">
      <c r="A391" s="136"/>
      <c r="B391" s="142"/>
      <c r="C391" s="86"/>
      <c r="D391" s="84"/>
      <c r="E391" s="84"/>
      <c r="F391" s="84"/>
      <c r="G391" s="127"/>
      <c r="H391" s="78"/>
      <c r="I391" s="114"/>
      <c r="J391" s="84"/>
      <c r="K391" s="84"/>
      <c r="L391" s="209"/>
      <c r="M391" s="83"/>
    </row>
    <row r="392" spans="1:13" s="6" customFormat="1" ht="15" customHeight="1" x14ac:dyDescent="0.3">
      <c r="A392" s="136"/>
      <c r="B392" s="142"/>
      <c r="C392" s="86"/>
      <c r="D392" s="84"/>
      <c r="E392" s="84"/>
      <c r="F392" s="84"/>
      <c r="G392" s="127"/>
      <c r="H392" s="90"/>
      <c r="I392" s="114"/>
      <c r="J392" s="84"/>
      <c r="K392" s="84"/>
      <c r="L392" s="209"/>
      <c r="M392" s="83"/>
    </row>
    <row r="393" spans="1:13" s="6" customFormat="1" ht="15" customHeight="1" x14ac:dyDescent="0.3">
      <c r="A393" s="136"/>
      <c r="B393" s="142"/>
      <c r="C393" s="86"/>
      <c r="D393" s="84"/>
      <c r="E393" s="84"/>
      <c r="F393" s="84"/>
      <c r="G393" s="127"/>
      <c r="H393" s="90"/>
      <c r="I393" s="114"/>
      <c r="J393" s="84"/>
      <c r="K393" s="84"/>
      <c r="L393" s="209"/>
      <c r="M393" s="83"/>
    </row>
    <row r="394" spans="1:13" ht="15" customHeight="1" x14ac:dyDescent="0.3">
      <c r="C394" s="86"/>
      <c r="G394" s="127"/>
      <c r="H394" s="90"/>
      <c r="I394" s="92"/>
    </row>
    <row r="395" spans="1:13" ht="15" customHeight="1" x14ac:dyDescent="0.3">
      <c r="C395" s="86"/>
      <c r="G395" s="127"/>
      <c r="H395" s="90"/>
      <c r="I395" s="92"/>
    </row>
    <row r="396" spans="1:13" ht="15" customHeight="1" x14ac:dyDescent="0.3">
      <c r="C396" s="86"/>
      <c r="G396" s="127"/>
      <c r="H396" s="90"/>
      <c r="I396" s="92"/>
    </row>
    <row r="397" spans="1:13" ht="15" customHeight="1" x14ac:dyDescent="0.3">
      <c r="C397" s="86"/>
      <c r="G397" s="127"/>
      <c r="H397" s="90"/>
      <c r="I397" s="92"/>
    </row>
    <row r="398" spans="1:13" ht="15" customHeight="1" x14ac:dyDescent="0.3">
      <c r="C398" s="86"/>
      <c r="G398" s="127"/>
      <c r="H398" s="90"/>
      <c r="I398" s="92"/>
    </row>
    <row r="399" spans="1:13" ht="15" customHeight="1" x14ac:dyDescent="0.3">
      <c r="G399" s="127"/>
      <c r="H399" s="90"/>
      <c r="I399" s="92"/>
    </row>
  </sheetData>
  <hyperlinks>
    <hyperlink ref="L24" location="'Virtualization tasks'!A1" display="'Virtualization tasks'!A1" xr:uid="{07688BC8-E7E2-4BD1-9856-0A41C6018E5B}"/>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1F8EABB1-2DCB-4CEF-BBC5-4D27B0C4C4B5}">
          <x14:formula1>
            <xm:f>Input!$A$2:$A$22</xm:f>
          </x14:formula1>
          <xm:sqref>A36:A163 B2:B163</xm:sqref>
        </x14:dataValidation>
        <x14:dataValidation type="list" allowBlank="1" showInputMessage="1" showErrorMessage="1" xr:uid="{6BB09E25-EF24-4510-832B-798AA4B223F5}">
          <x14:formula1>
            <xm:f>Input!$B$2:$B$6</xm:f>
          </x14:formula1>
          <xm:sqref>F2:F239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2CEDA-B420-4AAE-ACC7-BA9B8E64F9BD}">
  <dimension ref="A1:AC44"/>
  <sheetViews>
    <sheetView workbookViewId="0">
      <selection activeCell="C37" sqref="C37"/>
    </sheetView>
  </sheetViews>
  <sheetFormatPr defaultColWidth="11.44140625" defaultRowHeight="14.4" x14ac:dyDescent="0.3"/>
  <cols>
    <col min="1" max="1" width="22.44140625" style="2" bestFit="1" customWidth="1"/>
    <col min="2" max="2" width="16.6640625" style="58" bestFit="1" customWidth="1"/>
    <col min="3" max="3" width="11" style="2" bestFit="1" customWidth="1"/>
    <col min="4" max="4" width="24" style="2" bestFit="1" customWidth="1"/>
    <col min="5" max="5" width="14.44140625" style="58" bestFit="1" customWidth="1"/>
    <col min="6" max="6" width="23.44140625" style="58" bestFit="1" customWidth="1"/>
    <col min="7" max="7" width="59.33203125" style="77" customWidth="1"/>
    <col min="8" max="8" width="32.44140625" style="2" customWidth="1"/>
    <col min="9" max="9" width="34.6640625" style="2" customWidth="1"/>
    <col min="10" max="10" width="146.33203125" style="2" bestFit="1" customWidth="1"/>
    <col min="11" max="16384" width="11.44140625" style="2"/>
  </cols>
  <sheetData>
    <row r="1" spans="1:29" ht="18" x14ac:dyDescent="0.3">
      <c r="A1" s="56" t="s">
        <v>395</v>
      </c>
      <c r="B1" s="57" t="s">
        <v>396</v>
      </c>
      <c r="C1" s="56" t="s">
        <v>245</v>
      </c>
      <c r="D1" s="56" t="s">
        <v>397</v>
      </c>
      <c r="E1" s="57" t="s">
        <v>398</v>
      </c>
      <c r="F1" s="57" t="s">
        <v>399</v>
      </c>
      <c r="G1" s="76" t="s">
        <v>400</v>
      </c>
      <c r="H1" s="56" t="s">
        <v>401</v>
      </c>
      <c r="I1" s="56" t="s">
        <v>402</v>
      </c>
      <c r="J1" s="56" t="s">
        <v>403</v>
      </c>
    </row>
    <row r="2" spans="1:29" x14ac:dyDescent="0.3">
      <c r="A2" s="6"/>
      <c r="B2" s="6"/>
      <c r="C2" s="6"/>
      <c r="D2" s="6"/>
      <c r="E2" s="6"/>
      <c r="F2" s="6"/>
      <c r="G2" s="6"/>
      <c r="H2" s="6"/>
      <c r="I2" s="6"/>
      <c r="J2" s="6"/>
      <c r="K2" s="6"/>
      <c r="L2" s="6"/>
      <c r="M2" s="6"/>
      <c r="N2" s="6"/>
    </row>
    <row r="3" spans="1:29" x14ac:dyDescent="0.3">
      <c r="A3" s="6"/>
      <c r="B3" s="6"/>
      <c r="C3" s="6"/>
      <c r="D3" s="6"/>
      <c r="E3" s="6"/>
      <c r="F3" s="6"/>
      <c r="G3" s="6"/>
      <c r="H3" s="6"/>
      <c r="I3" s="6"/>
      <c r="J3" s="6"/>
      <c r="K3" s="6"/>
      <c r="L3" s="6"/>
      <c r="M3" s="6"/>
      <c r="N3" s="6"/>
      <c r="AB3" s="2" t="s">
        <v>245</v>
      </c>
      <c r="AC3" s="2" t="s">
        <v>404</v>
      </c>
    </row>
    <row r="4" spans="1:29" x14ac:dyDescent="0.3">
      <c r="A4" s="6"/>
      <c r="B4" s="6"/>
      <c r="C4" s="6"/>
      <c r="D4" s="6"/>
      <c r="E4" s="6"/>
      <c r="F4" s="6"/>
      <c r="G4" s="6"/>
      <c r="H4" s="6"/>
      <c r="I4" s="6"/>
      <c r="J4" s="6"/>
      <c r="K4" s="6"/>
      <c r="L4" s="6"/>
      <c r="M4" s="6"/>
      <c r="N4" s="6"/>
      <c r="AB4" s="2" t="s">
        <v>405</v>
      </c>
      <c r="AC4" s="2" t="s">
        <v>406</v>
      </c>
    </row>
    <row r="5" spans="1:29" x14ac:dyDescent="0.3">
      <c r="A5" s="6"/>
      <c r="B5" s="6"/>
      <c r="C5" s="6"/>
      <c r="D5" s="6"/>
      <c r="E5" s="6"/>
      <c r="F5" s="6"/>
      <c r="G5" s="6"/>
      <c r="H5" s="6"/>
      <c r="I5" s="6"/>
      <c r="J5" s="6"/>
      <c r="K5" s="6"/>
      <c r="L5" s="6"/>
      <c r="M5" s="6"/>
      <c r="N5" s="6"/>
      <c r="AB5" s="2" t="s">
        <v>407</v>
      </c>
      <c r="AC5" s="2" t="s">
        <v>408</v>
      </c>
    </row>
    <row r="6" spans="1:29" x14ac:dyDescent="0.3">
      <c r="A6" s="6"/>
      <c r="B6" s="6"/>
      <c r="C6" s="6"/>
      <c r="D6" s="6"/>
      <c r="E6" s="6"/>
      <c r="F6" s="6"/>
      <c r="G6" s="6"/>
      <c r="H6" s="6"/>
      <c r="I6" s="6"/>
      <c r="J6" s="6"/>
      <c r="K6" s="6"/>
      <c r="L6" s="6"/>
      <c r="M6" s="6"/>
      <c r="N6" s="6"/>
      <c r="AB6" s="2" t="s">
        <v>409</v>
      </c>
      <c r="AC6" s="2" t="s">
        <v>410</v>
      </c>
    </row>
    <row r="7" spans="1:29" x14ac:dyDescent="0.3">
      <c r="A7" s="6"/>
      <c r="B7" s="6"/>
      <c r="C7" s="6"/>
      <c r="D7" s="6"/>
      <c r="E7" s="6"/>
      <c r="F7" s="6"/>
      <c r="G7" s="6"/>
      <c r="H7" s="6"/>
      <c r="I7" s="6"/>
      <c r="J7" s="6"/>
      <c r="K7" s="6"/>
      <c r="L7" s="6"/>
      <c r="M7" s="6"/>
      <c r="N7" s="6"/>
      <c r="AB7" s="2" t="s">
        <v>411</v>
      </c>
      <c r="AC7" s="2" t="s">
        <v>412</v>
      </c>
    </row>
    <row r="8" spans="1:29" x14ac:dyDescent="0.3">
      <c r="A8" s="6"/>
      <c r="B8" s="6"/>
      <c r="C8" s="6"/>
      <c r="D8" s="6"/>
      <c r="E8" s="6"/>
      <c r="F8" s="6"/>
      <c r="G8" s="6"/>
      <c r="H8" s="6"/>
      <c r="I8" s="6"/>
      <c r="J8" s="6"/>
      <c r="K8" s="6"/>
      <c r="L8" s="6"/>
      <c r="M8" s="6"/>
      <c r="N8" s="6"/>
    </row>
    <row r="9" spans="1:29" x14ac:dyDescent="0.3">
      <c r="A9" s="6"/>
      <c r="B9" s="6"/>
      <c r="C9" s="6"/>
      <c r="D9" s="6"/>
      <c r="E9" s="6"/>
      <c r="F9" s="6"/>
      <c r="G9" s="6"/>
      <c r="H9" s="6"/>
      <c r="I9" s="6"/>
      <c r="J9" s="6"/>
      <c r="K9" s="6"/>
      <c r="L9" s="6"/>
      <c r="M9" s="6"/>
      <c r="N9" s="6"/>
    </row>
    <row r="10" spans="1:29" x14ac:dyDescent="0.3">
      <c r="A10" s="6"/>
      <c r="B10" s="6"/>
      <c r="C10" s="6"/>
      <c r="D10" s="6"/>
      <c r="E10" s="6"/>
      <c r="F10" s="6"/>
      <c r="G10" s="6"/>
      <c r="H10" s="6"/>
      <c r="I10" s="6"/>
      <c r="J10" s="6"/>
      <c r="K10" s="6"/>
      <c r="L10" s="6"/>
      <c r="M10" s="6"/>
      <c r="N10" s="6"/>
    </row>
    <row r="11" spans="1:29" x14ac:dyDescent="0.3">
      <c r="A11" s="6"/>
      <c r="B11" s="6"/>
      <c r="C11" s="6"/>
      <c r="D11" s="6"/>
      <c r="E11" s="6"/>
      <c r="F11" s="6"/>
      <c r="G11" s="6"/>
      <c r="H11" s="6"/>
      <c r="I11" s="6"/>
      <c r="J11" s="6"/>
      <c r="K11" s="6"/>
      <c r="L11" s="6"/>
      <c r="M11" s="6"/>
      <c r="N11" s="6"/>
    </row>
    <row r="12" spans="1:29" x14ac:dyDescent="0.3">
      <c r="A12" s="6"/>
      <c r="B12" s="6"/>
      <c r="C12" s="6"/>
      <c r="D12" s="6"/>
      <c r="E12" s="6"/>
      <c r="F12" s="6"/>
      <c r="G12" s="6"/>
      <c r="H12" s="6"/>
      <c r="I12" s="6"/>
      <c r="J12" s="6"/>
      <c r="K12" s="6"/>
      <c r="L12" s="6"/>
      <c r="M12" s="6"/>
      <c r="N12" s="6"/>
    </row>
    <row r="13" spans="1:29" x14ac:dyDescent="0.3">
      <c r="A13" s="6"/>
      <c r="B13" s="6"/>
      <c r="C13" s="6"/>
      <c r="D13" s="6"/>
      <c r="E13" s="6"/>
      <c r="F13" s="6"/>
      <c r="G13" s="6"/>
      <c r="H13" s="6"/>
      <c r="I13" s="6"/>
      <c r="J13" s="6"/>
      <c r="K13" s="6"/>
      <c r="L13" s="6"/>
      <c r="M13" s="6"/>
      <c r="N13" s="6"/>
    </row>
    <row r="14" spans="1:29" x14ac:dyDescent="0.3">
      <c r="A14" s="6"/>
      <c r="B14" s="6"/>
      <c r="C14" s="6"/>
      <c r="D14" s="6"/>
      <c r="E14" s="6"/>
      <c r="F14" s="6"/>
      <c r="G14" s="6"/>
      <c r="H14" s="6"/>
      <c r="I14" s="6"/>
      <c r="J14" s="6"/>
      <c r="K14" s="6"/>
      <c r="L14" s="6"/>
      <c r="M14" s="6"/>
      <c r="N14" s="6"/>
    </row>
    <row r="15" spans="1:29" x14ac:dyDescent="0.3">
      <c r="A15" s="6"/>
      <c r="B15" s="6"/>
      <c r="C15" s="6"/>
      <c r="D15" s="6"/>
      <c r="E15" s="6"/>
      <c r="F15" s="6"/>
      <c r="G15" s="6"/>
      <c r="H15" s="6"/>
      <c r="I15" s="6"/>
      <c r="J15" s="6"/>
      <c r="K15" s="6"/>
      <c r="L15" s="6"/>
      <c r="M15" s="6"/>
      <c r="N15" s="6"/>
    </row>
    <row r="16" spans="1:29" x14ac:dyDescent="0.3">
      <c r="A16" s="6"/>
      <c r="B16" s="6"/>
      <c r="C16" s="6"/>
      <c r="D16" s="6"/>
      <c r="E16" s="6"/>
      <c r="F16" s="6"/>
      <c r="G16" s="6"/>
      <c r="H16" s="6"/>
      <c r="I16" s="6"/>
      <c r="J16" s="6"/>
      <c r="K16" s="6"/>
      <c r="L16" s="6"/>
      <c r="M16" s="6"/>
      <c r="N16" s="6"/>
    </row>
    <row r="17" spans="1:14" x14ac:dyDescent="0.3">
      <c r="A17" s="6"/>
      <c r="B17" s="6"/>
      <c r="C17" s="6"/>
      <c r="D17" s="6"/>
      <c r="E17" s="6"/>
      <c r="F17" s="6"/>
      <c r="G17" s="6"/>
      <c r="H17" s="6"/>
      <c r="I17" s="6"/>
      <c r="J17" s="6"/>
      <c r="K17" s="6"/>
      <c r="L17" s="6"/>
      <c r="M17" s="6"/>
      <c r="N17" s="6"/>
    </row>
    <row r="18" spans="1:14" x14ac:dyDescent="0.3">
      <c r="A18" s="6"/>
      <c r="B18" s="6"/>
      <c r="C18" s="6"/>
      <c r="D18" s="6"/>
      <c r="E18" s="6"/>
      <c r="F18" s="6"/>
      <c r="G18" s="6"/>
      <c r="H18" s="6"/>
      <c r="I18" s="6"/>
      <c r="J18" s="6"/>
      <c r="K18" s="6"/>
      <c r="L18" s="6"/>
      <c r="M18" s="6"/>
      <c r="N18" s="6"/>
    </row>
    <row r="19" spans="1:14" x14ac:dyDescent="0.3">
      <c r="A19" s="6"/>
      <c r="B19" s="6"/>
      <c r="C19" s="6"/>
      <c r="D19" s="6"/>
      <c r="E19" s="6"/>
      <c r="F19" s="6"/>
      <c r="G19" s="6"/>
      <c r="H19" s="6"/>
      <c r="I19" s="6"/>
      <c r="J19" s="6"/>
      <c r="K19" s="6"/>
      <c r="L19" s="6"/>
      <c r="M19" s="6"/>
      <c r="N19" s="6"/>
    </row>
    <row r="20" spans="1:14" ht="16.5" customHeight="1" x14ac:dyDescent="0.3">
      <c r="A20" s="6"/>
      <c r="B20" s="6"/>
      <c r="C20" s="6"/>
      <c r="D20" s="6"/>
      <c r="E20" s="6"/>
      <c r="F20" s="6"/>
      <c r="G20" s="6"/>
      <c r="H20" s="6"/>
      <c r="I20" s="6"/>
      <c r="J20" s="6"/>
      <c r="K20" s="6"/>
      <c r="L20" s="6"/>
      <c r="M20" s="6"/>
      <c r="N20" s="6"/>
    </row>
    <row r="21" spans="1:14" x14ac:dyDescent="0.3">
      <c r="A21" s="6"/>
      <c r="B21" s="6"/>
      <c r="C21" s="6"/>
      <c r="D21" s="6"/>
      <c r="E21" s="6"/>
      <c r="F21" s="6"/>
      <c r="G21" s="6"/>
      <c r="H21" s="6"/>
      <c r="I21" s="6"/>
      <c r="J21" s="6"/>
      <c r="K21" s="6"/>
      <c r="L21" s="6"/>
      <c r="M21" s="6"/>
      <c r="N21" s="6"/>
    </row>
    <row r="22" spans="1:14" x14ac:dyDescent="0.3">
      <c r="A22" s="6"/>
      <c r="B22" s="6"/>
      <c r="C22" s="6"/>
      <c r="D22" s="6"/>
      <c r="E22" s="6"/>
      <c r="F22" s="6"/>
      <c r="G22" s="6"/>
      <c r="H22" s="6"/>
      <c r="I22" s="6"/>
      <c r="J22" s="6"/>
      <c r="K22" s="6"/>
      <c r="L22" s="6"/>
      <c r="M22" s="6"/>
      <c r="N22" s="6"/>
    </row>
    <row r="23" spans="1:14" x14ac:dyDescent="0.3">
      <c r="A23" s="6"/>
      <c r="B23" s="6"/>
      <c r="C23" s="6"/>
      <c r="D23" s="6"/>
      <c r="E23" s="6"/>
      <c r="F23" s="6"/>
      <c r="G23" s="6"/>
      <c r="H23" s="6"/>
      <c r="I23" s="6"/>
      <c r="J23" s="6"/>
      <c r="K23" s="6"/>
      <c r="L23" s="6"/>
      <c r="M23" s="6"/>
      <c r="N23" s="6"/>
    </row>
    <row r="24" spans="1:14" x14ac:dyDescent="0.3">
      <c r="A24" s="6"/>
      <c r="B24" s="6"/>
      <c r="C24" s="6"/>
      <c r="D24" s="6"/>
      <c r="E24" s="6"/>
      <c r="F24" s="6"/>
      <c r="G24" s="6"/>
      <c r="H24" s="6"/>
      <c r="I24" s="6"/>
      <c r="J24" s="6"/>
      <c r="K24" s="6"/>
      <c r="L24" s="6"/>
      <c r="M24" s="6"/>
      <c r="N24" s="6"/>
    </row>
    <row r="25" spans="1:14" x14ac:dyDescent="0.3">
      <c r="A25" s="6"/>
      <c r="B25" s="6"/>
      <c r="C25" s="6"/>
      <c r="D25" s="6"/>
      <c r="E25" s="6"/>
      <c r="F25" s="6"/>
      <c r="G25" s="6"/>
      <c r="H25" s="6"/>
      <c r="I25" s="6"/>
      <c r="J25" s="6"/>
      <c r="K25" s="6"/>
      <c r="L25" s="6"/>
      <c r="M25" s="6"/>
      <c r="N25" s="6"/>
    </row>
    <row r="26" spans="1:14" x14ac:dyDescent="0.3">
      <c r="A26" s="6"/>
      <c r="B26" s="6"/>
      <c r="C26" s="6"/>
      <c r="D26" s="6"/>
      <c r="E26" s="6"/>
      <c r="F26" s="6"/>
      <c r="G26" s="6"/>
      <c r="H26" s="6"/>
      <c r="I26" s="6"/>
      <c r="J26" s="6"/>
      <c r="K26" s="6"/>
      <c r="L26" s="6"/>
      <c r="M26" s="6"/>
      <c r="N26" s="6"/>
    </row>
    <row r="27" spans="1:14" x14ac:dyDescent="0.3">
      <c r="A27" s="6"/>
      <c r="B27" s="6"/>
      <c r="C27" s="6"/>
      <c r="D27" s="6"/>
      <c r="E27" s="6"/>
      <c r="F27" s="6"/>
      <c r="G27" s="6"/>
      <c r="H27" s="6"/>
      <c r="I27" s="6"/>
      <c r="J27" s="6"/>
      <c r="K27" s="6"/>
      <c r="L27" s="6"/>
      <c r="M27" s="6"/>
      <c r="N27" s="6"/>
    </row>
    <row r="28" spans="1:14" x14ac:dyDescent="0.3">
      <c r="A28" s="6"/>
      <c r="B28" s="6"/>
      <c r="C28" s="6"/>
      <c r="D28" s="6"/>
      <c r="E28" s="6"/>
      <c r="F28" s="6"/>
      <c r="G28" s="6"/>
      <c r="H28" s="6"/>
      <c r="I28" s="6"/>
      <c r="J28" s="6"/>
      <c r="K28" s="6"/>
      <c r="L28" s="6"/>
      <c r="M28" s="6"/>
      <c r="N28" s="6"/>
    </row>
    <row r="29" spans="1:14" x14ac:dyDescent="0.3">
      <c r="A29" s="6"/>
      <c r="B29" s="6"/>
      <c r="C29" s="6"/>
      <c r="D29" s="6"/>
      <c r="E29" s="6"/>
      <c r="F29" s="6"/>
      <c r="G29" s="6"/>
      <c r="H29" s="6"/>
      <c r="I29" s="6"/>
      <c r="J29" s="6"/>
      <c r="K29" s="6"/>
      <c r="L29" s="6"/>
      <c r="M29" s="6"/>
      <c r="N29" s="6"/>
    </row>
    <row r="30" spans="1:14" x14ac:dyDescent="0.3">
      <c r="A30" s="6"/>
      <c r="B30" s="6"/>
      <c r="C30" s="6"/>
      <c r="D30" s="6"/>
      <c r="E30" s="6"/>
      <c r="F30" s="6"/>
      <c r="G30" s="6"/>
      <c r="H30" s="6"/>
      <c r="I30" s="6"/>
      <c r="J30" s="6"/>
      <c r="K30" s="6"/>
      <c r="L30" s="6"/>
      <c r="M30" s="6"/>
      <c r="N30" s="6"/>
    </row>
    <row r="31" spans="1:14" x14ac:dyDescent="0.3">
      <c r="A31" s="6"/>
      <c r="B31" s="6"/>
      <c r="C31" s="6"/>
      <c r="D31" s="6"/>
      <c r="E31" s="6"/>
      <c r="F31" s="6"/>
      <c r="G31" s="6"/>
      <c r="H31" s="6"/>
      <c r="I31" s="6"/>
      <c r="J31" s="6"/>
      <c r="K31" s="6"/>
      <c r="L31" s="6"/>
      <c r="M31" s="6"/>
      <c r="N31" s="6"/>
    </row>
    <row r="32" spans="1:14" x14ac:dyDescent="0.3">
      <c r="A32" s="6"/>
      <c r="B32" s="6"/>
      <c r="C32" s="6"/>
      <c r="D32" s="6"/>
      <c r="E32" s="6"/>
      <c r="F32" s="6"/>
      <c r="G32" s="6"/>
      <c r="H32" s="6"/>
      <c r="I32" s="6"/>
      <c r="J32" s="6"/>
      <c r="K32" s="6"/>
      <c r="L32" s="6"/>
      <c r="M32" s="6"/>
      <c r="N32" s="6"/>
    </row>
    <row r="33" spans="1:7" x14ac:dyDescent="0.3">
      <c r="C33"/>
      <c r="E33"/>
      <c r="F33"/>
      <c r="G33" s="6"/>
    </row>
    <row r="34" spans="1:7" x14ac:dyDescent="0.3">
      <c r="A34"/>
      <c r="B34"/>
      <c r="C34"/>
      <c r="E34"/>
      <c r="F34"/>
      <c r="G34" s="6"/>
    </row>
    <row r="35" spans="1:7" x14ac:dyDescent="0.3">
      <c r="A35"/>
      <c r="B35"/>
      <c r="C35"/>
      <c r="E35"/>
      <c r="F35"/>
      <c r="G35" s="6"/>
    </row>
    <row r="36" spans="1:7" x14ac:dyDescent="0.3">
      <c r="A36"/>
      <c r="B36"/>
      <c r="C36"/>
      <c r="E36"/>
      <c r="F36"/>
      <c r="G36" s="6"/>
    </row>
    <row r="37" spans="1:7" x14ac:dyDescent="0.3">
      <c r="A37"/>
      <c r="B37"/>
      <c r="C37"/>
      <c r="E37"/>
      <c r="F37"/>
      <c r="G37" s="6"/>
    </row>
    <row r="38" spans="1:7" x14ac:dyDescent="0.3">
      <c r="A38"/>
      <c r="B38"/>
      <c r="C38"/>
      <c r="E38"/>
      <c r="F38"/>
      <c r="G38" s="6"/>
    </row>
    <row r="39" spans="1:7" x14ac:dyDescent="0.3">
      <c r="A39"/>
      <c r="B39"/>
      <c r="C39"/>
      <c r="E39"/>
      <c r="F39"/>
      <c r="G39" s="6"/>
    </row>
    <row r="40" spans="1:7" x14ac:dyDescent="0.3">
      <c r="A40"/>
      <c r="B40"/>
      <c r="C40"/>
      <c r="E40"/>
      <c r="F40"/>
      <c r="G40" s="6"/>
    </row>
    <row r="41" spans="1:7" x14ac:dyDescent="0.3">
      <c r="A41"/>
      <c r="B41"/>
      <c r="C41"/>
      <c r="E41"/>
      <c r="F41"/>
      <c r="G41" s="6"/>
    </row>
    <row r="42" spans="1:7" x14ac:dyDescent="0.3">
      <c r="A42"/>
      <c r="B42"/>
      <c r="C42"/>
      <c r="E42"/>
      <c r="F42"/>
      <c r="G42" s="6"/>
    </row>
    <row r="43" spans="1:7" x14ac:dyDescent="0.3">
      <c r="A43"/>
      <c r="B43"/>
      <c r="C43"/>
      <c r="E43"/>
      <c r="F43"/>
      <c r="G43" s="6"/>
    </row>
    <row r="44" spans="1:7" x14ac:dyDescent="0.3">
      <c r="A44"/>
      <c r="B44"/>
      <c r="C44"/>
      <c r="E44"/>
      <c r="F44"/>
      <c r="G44" s="6"/>
    </row>
  </sheetData>
  <autoFilter ref="A1:J33" xr:uid="{67B2CEDA-B420-4AAE-ACC7-BA9B8E64F9BD}">
    <sortState xmlns:xlrd2="http://schemas.microsoft.com/office/spreadsheetml/2017/richdata2" ref="A2:J25">
      <sortCondition ref="C1:C25"/>
    </sortState>
  </autoFilter>
  <dataValidations count="3">
    <dataValidation type="list" allowBlank="1" showInputMessage="1" showErrorMessage="1" sqref="F2:F21 F23 F25" xr:uid="{C3FFF4C8-D2FA-4C52-A9F2-EB0979067E09}">
      <formula1>$AC$4:$AC$10</formula1>
    </dataValidation>
    <dataValidation type="list" allowBlank="1" showInputMessage="1" showErrorMessage="1" sqref="C2:C28" xr:uid="{837EDA94-7196-4C88-8BCA-9D178BDF14C0}">
      <formula1>$AB$4:$AB$10</formula1>
    </dataValidation>
    <dataValidation allowBlank="1" showInputMessage="1" showErrorMessage="1" sqref="D1:D1048576" xr:uid="{01F02142-3FEA-426F-8F21-170F51736401}"/>
  </dataValidation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33797-B620-4E6A-83D0-1E4A730E8E6A}">
  <dimension ref="A1:B22"/>
  <sheetViews>
    <sheetView workbookViewId="0">
      <selection activeCell="G7" sqref="G7"/>
    </sheetView>
  </sheetViews>
  <sheetFormatPr defaultColWidth="11.44140625" defaultRowHeight="14.4" outlineLevelCol="2" x14ac:dyDescent="0.3"/>
  <cols>
    <col min="1" max="1" width="18.33203125" bestFit="1" customWidth="1" outlineLevel="2"/>
  </cols>
  <sheetData>
    <row r="1" spans="1:2" x14ac:dyDescent="0.3">
      <c r="A1" s="5" t="s">
        <v>45</v>
      </c>
      <c r="B1" s="5" t="s">
        <v>245</v>
      </c>
    </row>
    <row r="2" spans="1:2" x14ac:dyDescent="0.3">
      <c r="A2" t="s">
        <v>413</v>
      </c>
      <c r="B2" t="s">
        <v>303</v>
      </c>
    </row>
    <row r="3" spans="1:2" x14ac:dyDescent="0.3">
      <c r="A3" t="s">
        <v>414</v>
      </c>
      <c r="B3" t="s">
        <v>256</v>
      </c>
    </row>
    <row r="4" spans="1:2" x14ac:dyDescent="0.3">
      <c r="A4" t="s">
        <v>260</v>
      </c>
      <c r="B4" t="s">
        <v>111</v>
      </c>
    </row>
    <row r="5" spans="1:2" x14ac:dyDescent="0.3">
      <c r="A5" t="s">
        <v>296</v>
      </c>
      <c r="B5" t="s">
        <v>357</v>
      </c>
    </row>
    <row r="6" spans="1:2" x14ac:dyDescent="0.3">
      <c r="A6" t="s">
        <v>415</v>
      </c>
      <c r="B6" t="s">
        <v>352</v>
      </c>
    </row>
    <row r="7" spans="1:2" x14ac:dyDescent="0.3">
      <c r="A7" t="s">
        <v>416</v>
      </c>
    </row>
    <row r="8" spans="1:2" x14ac:dyDescent="0.3">
      <c r="A8" t="s">
        <v>417</v>
      </c>
    </row>
    <row r="9" spans="1:2" x14ac:dyDescent="0.3">
      <c r="A9" t="s">
        <v>269</v>
      </c>
    </row>
    <row r="10" spans="1:2" x14ac:dyDescent="0.3">
      <c r="A10" t="s">
        <v>252</v>
      </c>
    </row>
    <row r="11" spans="1:2" x14ac:dyDescent="0.3">
      <c r="A11" t="s">
        <v>331</v>
      </c>
    </row>
    <row r="12" spans="1:2" x14ac:dyDescent="0.3">
      <c r="A12" t="s">
        <v>418</v>
      </c>
    </row>
    <row r="13" spans="1:2" x14ac:dyDescent="0.3">
      <c r="A13" t="s">
        <v>380</v>
      </c>
    </row>
    <row r="14" spans="1:2" x14ac:dyDescent="0.3">
      <c r="A14" t="s">
        <v>339</v>
      </c>
    </row>
    <row r="15" spans="1:2" x14ac:dyDescent="0.3">
      <c r="A15" t="s">
        <v>419</v>
      </c>
    </row>
    <row r="16" spans="1:2" x14ac:dyDescent="0.3">
      <c r="A16" t="s">
        <v>319</v>
      </c>
    </row>
    <row r="17" spans="1:1" x14ac:dyDescent="0.3">
      <c r="A17" t="s">
        <v>420</v>
      </c>
    </row>
    <row r="18" spans="1:1" x14ac:dyDescent="0.3">
      <c r="A18" t="s">
        <v>385</v>
      </c>
    </row>
    <row r="19" spans="1:1" x14ac:dyDescent="0.3">
      <c r="A19" t="s">
        <v>421</v>
      </c>
    </row>
    <row r="20" spans="1:1" x14ac:dyDescent="0.3">
      <c r="A20" t="s">
        <v>422</v>
      </c>
    </row>
    <row r="21" spans="1:1" x14ac:dyDescent="0.3">
      <c r="A21" t="s">
        <v>423</v>
      </c>
    </row>
    <row r="22" spans="1:1" x14ac:dyDescent="0.3">
      <c r="A22" t="s">
        <v>424</v>
      </c>
    </row>
  </sheetData>
  <sortState xmlns:xlrd2="http://schemas.microsoft.com/office/spreadsheetml/2017/richdata2" ref="B2:B6">
    <sortCondition ref="B2:B6"/>
  </sortState>
  <pageMargins left="0.7" right="0.7" top="0.78740157499999996" bottom="0.78740157499999996"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42268-A1B1-4B40-8BC3-60B1FB30B8FA}">
  <dimension ref="A1:G21"/>
  <sheetViews>
    <sheetView topLeftCell="C1" workbookViewId="0">
      <selection activeCell="G2" sqref="G2"/>
    </sheetView>
  </sheetViews>
  <sheetFormatPr defaultColWidth="11.44140625" defaultRowHeight="14.4" x14ac:dyDescent="0.3"/>
  <cols>
    <col min="1" max="1" width="9.44140625" bestFit="1" customWidth="1"/>
    <col min="2" max="2" width="94.33203125" customWidth="1"/>
    <col min="3" max="3" width="48.44140625" bestFit="1" customWidth="1"/>
    <col min="4" max="4" width="12.109375" bestFit="1" customWidth="1"/>
    <col min="5" max="5" width="36.5546875" bestFit="1" customWidth="1"/>
    <col min="6" max="6" width="36.5546875" customWidth="1"/>
    <col min="7" max="7" width="42.5546875" bestFit="1" customWidth="1"/>
  </cols>
  <sheetData>
    <row r="1" spans="1:7" s="5" customFormat="1" x14ac:dyDescent="0.3">
      <c r="A1" s="54" t="s">
        <v>425</v>
      </c>
      <c r="B1" s="54" t="s">
        <v>426</v>
      </c>
      <c r="C1" s="54" t="s">
        <v>427</v>
      </c>
      <c r="D1" s="54" t="s">
        <v>428</v>
      </c>
      <c r="E1" s="54" t="s">
        <v>429</v>
      </c>
      <c r="F1" s="54" t="s">
        <v>430</v>
      </c>
      <c r="G1" s="54" t="s">
        <v>431</v>
      </c>
    </row>
    <row r="2" spans="1:7" ht="43.2" x14ac:dyDescent="0.3">
      <c r="A2" s="46" t="s">
        <v>432</v>
      </c>
      <c r="B2" s="46" t="s">
        <v>433</v>
      </c>
      <c r="C2" s="46" t="s">
        <v>434</v>
      </c>
      <c r="D2" s="46" t="s">
        <v>338</v>
      </c>
      <c r="E2" s="47" t="s">
        <v>435</v>
      </c>
      <c r="F2" s="47" t="s">
        <v>435</v>
      </c>
      <c r="G2" s="47" t="s">
        <v>435</v>
      </c>
    </row>
    <row r="3" spans="1:7" ht="43.2" x14ac:dyDescent="0.3">
      <c r="A3" s="46" t="s">
        <v>432</v>
      </c>
      <c r="B3" s="48" t="s">
        <v>436</v>
      </c>
      <c r="C3" s="46" t="s">
        <v>434</v>
      </c>
      <c r="D3" s="46" t="s">
        <v>437</v>
      </c>
      <c r="E3" s="46" t="s">
        <v>438</v>
      </c>
      <c r="F3" s="47" t="s">
        <v>439</v>
      </c>
      <c r="G3" s="47" t="s">
        <v>439</v>
      </c>
    </row>
    <row r="4" spans="1:7" x14ac:dyDescent="0.3">
      <c r="A4" s="46" t="s">
        <v>78</v>
      </c>
      <c r="B4" s="49" t="s">
        <v>440</v>
      </c>
      <c r="C4" s="46" t="s">
        <v>441</v>
      </c>
      <c r="D4" s="46" t="s">
        <v>442</v>
      </c>
      <c r="E4" s="46" t="s">
        <v>443</v>
      </c>
      <c r="F4" s="46" t="s">
        <v>111</v>
      </c>
      <c r="G4" s="46" t="s">
        <v>444</v>
      </c>
    </row>
    <row r="5" spans="1:7" x14ac:dyDescent="0.3">
      <c r="A5" s="46" t="s">
        <v>78</v>
      </c>
      <c r="B5" s="49" t="s">
        <v>445</v>
      </c>
      <c r="C5" s="46" t="s">
        <v>441</v>
      </c>
      <c r="D5" s="46" t="s">
        <v>442</v>
      </c>
      <c r="E5" s="46" t="s">
        <v>443</v>
      </c>
      <c r="F5" s="46" t="s">
        <v>111</v>
      </c>
      <c r="G5" s="46" t="s">
        <v>444</v>
      </c>
    </row>
    <row r="6" spans="1:7" x14ac:dyDescent="0.3">
      <c r="A6" s="46" t="s">
        <v>78</v>
      </c>
      <c r="B6" s="48" t="s">
        <v>446</v>
      </c>
      <c r="C6" s="46" t="s">
        <v>441</v>
      </c>
      <c r="D6" s="46" t="s">
        <v>442</v>
      </c>
      <c r="E6" s="46" t="s">
        <v>447</v>
      </c>
      <c r="F6" s="46" t="s">
        <v>111</v>
      </c>
      <c r="G6" s="47" t="s">
        <v>447</v>
      </c>
    </row>
    <row r="7" spans="1:7" x14ac:dyDescent="0.3">
      <c r="A7" s="46" t="s">
        <v>78</v>
      </c>
      <c r="B7" s="48" t="s">
        <v>448</v>
      </c>
      <c r="C7" s="46" t="s">
        <v>441</v>
      </c>
      <c r="D7" s="46" t="s">
        <v>442</v>
      </c>
      <c r="E7" s="46" t="s">
        <v>443</v>
      </c>
      <c r="F7" s="46" t="s">
        <v>111</v>
      </c>
      <c r="G7" s="46" t="s">
        <v>444</v>
      </c>
    </row>
    <row r="8" spans="1:7" x14ac:dyDescent="0.3">
      <c r="A8" s="46" t="s">
        <v>78</v>
      </c>
      <c r="B8" s="48" t="s">
        <v>449</v>
      </c>
      <c r="C8" s="46" t="s">
        <v>441</v>
      </c>
      <c r="D8" s="46" t="s">
        <v>442</v>
      </c>
      <c r="E8" s="46" t="s">
        <v>443</v>
      </c>
      <c r="F8" s="46" t="s">
        <v>111</v>
      </c>
      <c r="G8" s="46" t="s">
        <v>444</v>
      </c>
    </row>
    <row r="9" spans="1:7" x14ac:dyDescent="0.3">
      <c r="A9" s="46" t="s">
        <v>78</v>
      </c>
      <c r="B9" s="48" t="s">
        <v>450</v>
      </c>
      <c r="C9" s="46" t="s">
        <v>441</v>
      </c>
      <c r="D9" s="46" t="s">
        <v>442</v>
      </c>
      <c r="E9" s="46" t="s">
        <v>447</v>
      </c>
      <c r="F9" s="46" t="s">
        <v>111</v>
      </c>
      <c r="G9" s="46" t="s">
        <v>447</v>
      </c>
    </row>
    <row r="10" spans="1:7" x14ac:dyDescent="0.3">
      <c r="A10" s="46"/>
      <c r="B10" s="48" t="s">
        <v>451</v>
      </c>
      <c r="C10" s="46" t="s">
        <v>434</v>
      </c>
      <c r="D10" s="46" t="s">
        <v>437</v>
      </c>
      <c r="E10" s="46" t="s">
        <v>452</v>
      </c>
      <c r="F10" s="46"/>
      <c r="G10" s="46" t="s">
        <v>453</v>
      </c>
    </row>
    <row r="11" spans="1:7" ht="57.6" x14ac:dyDescent="0.3">
      <c r="A11" s="46" t="s">
        <v>454</v>
      </c>
      <c r="B11" s="49" t="s">
        <v>455</v>
      </c>
      <c r="C11" s="47" t="s">
        <v>456</v>
      </c>
      <c r="D11" s="46" t="s">
        <v>392</v>
      </c>
      <c r="E11" s="46" t="s">
        <v>438</v>
      </c>
      <c r="F11" s="47" t="s">
        <v>439</v>
      </c>
      <c r="G11" s="46" t="s">
        <v>453</v>
      </c>
    </row>
    <row r="12" spans="1:7" ht="108.6" x14ac:dyDescent="0.3">
      <c r="A12" s="46" t="s">
        <v>457</v>
      </c>
      <c r="B12" s="50" t="s">
        <v>458</v>
      </c>
      <c r="C12" s="48" t="s">
        <v>459</v>
      </c>
      <c r="D12" s="46" t="s">
        <v>460</v>
      </c>
      <c r="E12" s="55" t="s">
        <v>461</v>
      </c>
      <c r="F12" s="59" t="s">
        <v>453</v>
      </c>
      <c r="G12" s="46" t="s">
        <v>453</v>
      </c>
    </row>
    <row r="13" spans="1:7" x14ac:dyDescent="0.3">
      <c r="A13" s="46"/>
      <c r="B13" s="49" t="s">
        <v>462</v>
      </c>
      <c r="C13" s="46" t="s">
        <v>463</v>
      </c>
      <c r="D13" s="46" t="s">
        <v>392</v>
      </c>
      <c r="E13" s="47" t="s">
        <v>438</v>
      </c>
      <c r="F13" s="47" t="s">
        <v>438</v>
      </c>
      <c r="G13" s="46" t="s">
        <v>438</v>
      </c>
    </row>
    <row r="14" spans="1:7" ht="43.2" x14ac:dyDescent="0.3">
      <c r="A14" s="46"/>
      <c r="B14" s="48" t="s">
        <v>464</v>
      </c>
      <c r="C14" s="46" t="s">
        <v>465</v>
      </c>
      <c r="D14" s="46" t="s">
        <v>338</v>
      </c>
      <c r="E14" s="47" t="s">
        <v>439</v>
      </c>
      <c r="F14" s="47" t="s">
        <v>439</v>
      </c>
      <c r="G14" s="47" t="s">
        <v>439</v>
      </c>
    </row>
    <row r="15" spans="1:7" ht="43.2" x14ac:dyDescent="0.3">
      <c r="A15" s="50" t="s">
        <v>432</v>
      </c>
      <c r="B15" s="48" t="s">
        <v>466</v>
      </c>
      <c r="C15" s="47" t="s">
        <v>467</v>
      </c>
      <c r="D15" s="46" t="s">
        <v>338</v>
      </c>
      <c r="E15" s="47" t="s">
        <v>439</v>
      </c>
      <c r="F15" s="47" t="s">
        <v>439</v>
      </c>
      <c r="G15" s="47" t="s">
        <v>439</v>
      </c>
    </row>
    <row r="16" spans="1:7" x14ac:dyDescent="0.3">
      <c r="A16" s="46" t="s">
        <v>432</v>
      </c>
      <c r="B16" s="48" t="s">
        <v>468</v>
      </c>
      <c r="C16" s="46" t="s">
        <v>469</v>
      </c>
      <c r="D16" s="46" t="s">
        <v>392</v>
      </c>
      <c r="E16" s="47" t="s">
        <v>438</v>
      </c>
      <c r="F16" s="47" t="s">
        <v>438</v>
      </c>
      <c r="G16" s="46" t="s">
        <v>438</v>
      </c>
    </row>
    <row r="17" spans="1:7" ht="43.2" x14ac:dyDescent="0.3">
      <c r="A17" s="46" t="s">
        <v>432</v>
      </c>
      <c r="B17" s="48" t="s">
        <v>470</v>
      </c>
      <c r="C17" s="46" t="s">
        <v>471</v>
      </c>
      <c r="D17" s="46" t="s">
        <v>392</v>
      </c>
      <c r="E17" s="47" t="s">
        <v>472</v>
      </c>
      <c r="F17" s="47"/>
      <c r="G17" s="53" t="s">
        <v>473</v>
      </c>
    </row>
    <row r="18" spans="1:7" ht="43.2" x14ac:dyDescent="0.3">
      <c r="A18" s="46" t="s">
        <v>432</v>
      </c>
      <c r="B18" s="48" t="s">
        <v>474</v>
      </c>
      <c r="C18" s="46" t="s">
        <v>475</v>
      </c>
      <c r="D18" s="46" t="s">
        <v>392</v>
      </c>
      <c r="E18" s="47" t="s">
        <v>439</v>
      </c>
      <c r="F18" s="47" t="s">
        <v>438</v>
      </c>
      <c r="G18" s="46" t="s">
        <v>438</v>
      </c>
    </row>
    <row r="19" spans="1:7" x14ac:dyDescent="0.3">
      <c r="A19" s="46" t="s">
        <v>432</v>
      </c>
      <c r="B19" s="48" t="s">
        <v>476</v>
      </c>
      <c r="C19" s="46" t="s">
        <v>477</v>
      </c>
      <c r="D19" s="46" t="s">
        <v>460</v>
      </c>
      <c r="E19" s="46" t="s">
        <v>438</v>
      </c>
      <c r="F19" s="46" t="s">
        <v>438</v>
      </c>
      <c r="G19" s="46" t="s">
        <v>438</v>
      </c>
    </row>
    <row r="20" spans="1:7" x14ac:dyDescent="0.3">
      <c r="A20" s="46" t="s">
        <v>432</v>
      </c>
      <c r="B20" s="49" t="s">
        <v>478</v>
      </c>
      <c r="C20" s="46" t="s">
        <v>479</v>
      </c>
      <c r="D20" s="46" t="s">
        <v>392</v>
      </c>
      <c r="E20" s="47" t="s">
        <v>438</v>
      </c>
      <c r="F20" s="47" t="s">
        <v>438</v>
      </c>
      <c r="G20" s="46" t="s">
        <v>438</v>
      </c>
    </row>
    <row r="21" spans="1:7" ht="43.2" x14ac:dyDescent="0.3">
      <c r="A21" s="50" t="s">
        <v>432</v>
      </c>
      <c r="B21" s="49" t="s">
        <v>480</v>
      </c>
      <c r="C21" s="47" t="s">
        <v>481</v>
      </c>
      <c r="D21" s="46" t="s">
        <v>338</v>
      </c>
      <c r="E21" s="47" t="s">
        <v>482</v>
      </c>
      <c r="F21" s="47"/>
      <c r="G21" s="46" t="s">
        <v>473</v>
      </c>
    </row>
  </sheetData>
  <autoFilter ref="A1:G21" xr:uid="{1F642268-A1B1-4B40-8BC3-60B1FB30B8F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ECBD-3AB1-463D-95DB-AD179FD86D1F}">
  <dimension ref="A1:T37"/>
  <sheetViews>
    <sheetView workbookViewId="0">
      <selection activeCell="G2" sqref="G2"/>
    </sheetView>
  </sheetViews>
  <sheetFormatPr defaultColWidth="9.109375" defaultRowHeight="14.4" x14ac:dyDescent="0.3"/>
  <cols>
    <col min="1" max="1" width="50.33203125" customWidth="1"/>
    <col min="2" max="2" width="18" bestFit="1" customWidth="1"/>
    <col min="3" max="3" width="54" bestFit="1" customWidth="1"/>
    <col min="4" max="4" width="15.6640625" style="7" bestFit="1" customWidth="1"/>
    <col min="5" max="5" width="13.109375" style="7" bestFit="1" customWidth="1"/>
    <col min="6" max="11" width="12.33203125" style="7" bestFit="1" customWidth="1"/>
  </cols>
  <sheetData>
    <row r="1" spans="1:20" ht="15.75" customHeight="1" x14ac:dyDescent="0.35">
      <c r="A1" s="16" t="s">
        <v>483</v>
      </c>
      <c r="B1" s="17" t="s">
        <v>484</v>
      </c>
      <c r="C1" s="17" t="s">
        <v>245</v>
      </c>
      <c r="D1" s="18" t="s">
        <v>485</v>
      </c>
      <c r="E1" s="18" t="s">
        <v>486</v>
      </c>
      <c r="F1" s="19" t="s">
        <v>487</v>
      </c>
      <c r="G1" s="18" t="s">
        <v>488</v>
      </c>
      <c r="H1" s="20" t="s">
        <v>489</v>
      </c>
      <c r="I1" s="18" t="s">
        <v>490</v>
      </c>
      <c r="J1" s="21" t="s">
        <v>491</v>
      </c>
      <c r="K1" s="22" t="s">
        <v>492</v>
      </c>
    </row>
    <row r="2" spans="1:20" hidden="1" x14ac:dyDescent="0.3">
      <c r="A2" s="23" t="s">
        <v>493</v>
      </c>
      <c r="B2" s="24" t="s">
        <v>494</v>
      </c>
      <c r="C2" s="25" t="s">
        <v>486</v>
      </c>
      <c r="D2" s="26" t="s">
        <v>495</v>
      </c>
      <c r="E2" s="27" t="s">
        <v>495</v>
      </c>
      <c r="F2" s="28"/>
      <c r="G2" s="27"/>
      <c r="H2" s="27" t="s">
        <v>496</v>
      </c>
      <c r="I2" s="27" t="s">
        <v>110</v>
      </c>
      <c r="J2" s="29" t="s">
        <v>497</v>
      </c>
      <c r="K2" s="30"/>
    </row>
    <row r="3" spans="1:20" x14ac:dyDescent="0.3">
      <c r="A3" s="23" t="s">
        <v>498</v>
      </c>
      <c r="B3" s="24" t="s">
        <v>499</v>
      </c>
      <c r="C3" s="25" t="s">
        <v>486</v>
      </c>
      <c r="D3" s="26" t="s">
        <v>495</v>
      </c>
      <c r="E3" s="27" t="s">
        <v>495</v>
      </c>
      <c r="F3" s="28"/>
      <c r="G3" s="27"/>
      <c r="H3" s="31"/>
      <c r="I3" s="27" t="s">
        <v>500</v>
      </c>
      <c r="J3" s="27"/>
      <c r="K3" s="32" t="s">
        <v>501</v>
      </c>
    </row>
    <row r="4" spans="1:20" hidden="1" x14ac:dyDescent="0.3">
      <c r="A4" s="23" t="s">
        <v>502</v>
      </c>
      <c r="B4" s="24" t="s">
        <v>503</v>
      </c>
      <c r="C4" s="25" t="s">
        <v>486</v>
      </c>
      <c r="D4" s="26" t="s">
        <v>504</v>
      </c>
      <c r="E4" s="27" t="s">
        <v>495</v>
      </c>
      <c r="F4" s="28"/>
      <c r="G4" s="27"/>
      <c r="H4" s="31" t="s">
        <v>505</v>
      </c>
      <c r="I4" s="27" t="s">
        <v>110</v>
      </c>
      <c r="J4" s="33" t="s">
        <v>506</v>
      </c>
      <c r="K4" s="30"/>
    </row>
    <row r="5" spans="1:20" hidden="1" x14ac:dyDescent="0.3">
      <c r="A5" s="23" t="s">
        <v>507</v>
      </c>
      <c r="B5" s="24" t="s">
        <v>508</v>
      </c>
      <c r="C5" s="25" t="s">
        <v>486</v>
      </c>
      <c r="D5" s="26" t="s">
        <v>495</v>
      </c>
      <c r="E5" s="27" t="s">
        <v>495</v>
      </c>
      <c r="F5" s="28"/>
      <c r="G5" s="27"/>
      <c r="H5" s="31" t="s">
        <v>509</v>
      </c>
      <c r="I5" s="27" t="s">
        <v>110</v>
      </c>
      <c r="J5" s="33" t="s">
        <v>510</v>
      </c>
      <c r="K5" s="30"/>
    </row>
    <row r="6" spans="1:20" hidden="1" x14ac:dyDescent="0.3">
      <c r="A6" s="23" t="s">
        <v>511</v>
      </c>
      <c r="B6" s="24" t="s">
        <v>512</v>
      </c>
      <c r="C6" s="25" t="s">
        <v>486</v>
      </c>
      <c r="D6" s="26" t="s">
        <v>495</v>
      </c>
      <c r="E6" s="27" t="s">
        <v>495</v>
      </c>
      <c r="F6" s="28"/>
      <c r="G6" s="27" t="s">
        <v>513</v>
      </c>
      <c r="H6" s="31"/>
      <c r="I6" s="27" t="s">
        <v>514</v>
      </c>
      <c r="J6" s="27"/>
      <c r="K6" s="32"/>
    </row>
    <row r="7" spans="1:20" hidden="1" x14ac:dyDescent="0.3">
      <c r="A7" s="23" t="s">
        <v>515</v>
      </c>
      <c r="B7" s="24" t="s">
        <v>516</v>
      </c>
      <c r="C7" s="25" t="s">
        <v>517</v>
      </c>
      <c r="D7" s="26" t="s">
        <v>518</v>
      </c>
      <c r="E7" s="27" t="s">
        <v>495</v>
      </c>
      <c r="F7" s="28" t="s">
        <v>519</v>
      </c>
      <c r="G7" s="27"/>
      <c r="H7" s="31"/>
      <c r="I7" s="27" t="s">
        <v>110</v>
      </c>
      <c r="J7" s="33"/>
      <c r="K7" s="30"/>
      <c r="M7" s="7" t="s">
        <v>520</v>
      </c>
      <c r="N7" s="7" t="s">
        <v>519</v>
      </c>
      <c r="O7" s="14" t="s">
        <v>521</v>
      </c>
      <c r="P7" s="7"/>
      <c r="Q7" s="7"/>
      <c r="R7" s="7"/>
      <c r="S7" s="7"/>
    </row>
    <row r="8" spans="1:20" x14ac:dyDescent="0.3">
      <c r="A8" s="23" t="s">
        <v>522</v>
      </c>
      <c r="B8" s="24" t="s">
        <v>523</v>
      </c>
      <c r="C8" s="25" t="s">
        <v>486</v>
      </c>
      <c r="D8" s="26" t="s">
        <v>524</v>
      </c>
      <c r="E8" s="27" t="s">
        <v>495</v>
      </c>
      <c r="F8" s="28"/>
      <c r="G8" s="27"/>
      <c r="H8" s="31"/>
      <c r="I8" s="27" t="s">
        <v>525</v>
      </c>
      <c r="J8" s="27"/>
      <c r="K8" s="32" t="s">
        <v>526</v>
      </c>
      <c r="M8" s="7"/>
      <c r="N8" s="7" t="s">
        <v>111</v>
      </c>
      <c r="O8" s="14" t="s">
        <v>527</v>
      </c>
      <c r="P8" s="7"/>
      <c r="Q8" s="7"/>
      <c r="R8" s="7"/>
      <c r="S8" s="7"/>
    </row>
    <row r="9" spans="1:20" hidden="1" x14ac:dyDescent="0.3">
      <c r="A9" s="23" t="s">
        <v>528</v>
      </c>
      <c r="B9" s="24" t="s">
        <v>529</v>
      </c>
      <c r="C9" s="25" t="s">
        <v>530</v>
      </c>
      <c r="D9" s="26" t="s">
        <v>518</v>
      </c>
      <c r="E9" s="27" t="s">
        <v>518</v>
      </c>
      <c r="F9" s="28" t="s">
        <v>111</v>
      </c>
      <c r="G9" s="28" t="s">
        <v>111</v>
      </c>
      <c r="H9" s="28" t="s">
        <v>111</v>
      </c>
      <c r="I9" s="28" t="s">
        <v>111</v>
      </c>
      <c r="J9" s="36" t="s">
        <v>111</v>
      </c>
      <c r="K9" s="37" t="s">
        <v>111</v>
      </c>
      <c r="M9" s="7"/>
      <c r="N9" s="7" t="s">
        <v>531</v>
      </c>
      <c r="O9" s="266" t="s">
        <v>532</v>
      </c>
      <c r="P9" s="267"/>
      <c r="Q9" s="267"/>
      <c r="R9" s="267"/>
      <c r="S9" s="267"/>
      <c r="T9" s="267"/>
    </row>
    <row r="10" spans="1:20" hidden="1" x14ac:dyDescent="0.3">
      <c r="A10" s="23" t="s">
        <v>533</v>
      </c>
      <c r="B10" s="24" t="s">
        <v>534</v>
      </c>
      <c r="C10" s="25" t="s">
        <v>486</v>
      </c>
      <c r="D10" s="26" t="s">
        <v>535</v>
      </c>
      <c r="E10" s="27" t="s">
        <v>495</v>
      </c>
      <c r="F10" s="28"/>
      <c r="G10" s="27"/>
      <c r="H10" s="27" t="s">
        <v>536</v>
      </c>
      <c r="I10" s="27"/>
      <c r="J10" s="27" t="s">
        <v>537</v>
      </c>
      <c r="K10" s="32"/>
      <c r="M10" s="7"/>
      <c r="N10" s="7"/>
      <c r="O10" s="267"/>
      <c r="P10" s="267"/>
      <c r="Q10" s="267"/>
      <c r="R10" s="267"/>
      <c r="S10" s="267"/>
      <c r="T10" s="267"/>
    </row>
    <row r="11" spans="1:20" hidden="1" x14ac:dyDescent="0.3">
      <c r="A11" s="23" t="s">
        <v>538</v>
      </c>
      <c r="B11" s="24" t="s">
        <v>539</v>
      </c>
      <c r="C11" s="25" t="s">
        <v>486</v>
      </c>
      <c r="D11" s="27" t="s">
        <v>495</v>
      </c>
      <c r="E11" s="27" t="s">
        <v>495</v>
      </c>
      <c r="F11" s="28"/>
      <c r="G11" s="33"/>
      <c r="H11" s="31"/>
      <c r="I11" s="27"/>
      <c r="J11" s="33" t="s">
        <v>540</v>
      </c>
      <c r="K11" s="30"/>
    </row>
    <row r="12" spans="1:20" hidden="1" x14ac:dyDescent="0.3">
      <c r="A12" s="23" t="s">
        <v>541</v>
      </c>
      <c r="B12" s="24" t="s">
        <v>542</v>
      </c>
      <c r="C12" s="25" t="s">
        <v>543</v>
      </c>
      <c r="D12" s="26" t="s">
        <v>495</v>
      </c>
      <c r="E12" s="27" t="s">
        <v>518</v>
      </c>
      <c r="F12" s="28"/>
      <c r="G12" s="28" t="s">
        <v>544</v>
      </c>
      <c r="H12" s="31"/>
      <c r="I12" s="27" t="s">
        <v>110</v>
      </c>
      <c r="J12" s="27"/>
      <c r="K12" s="32"/>
    </row>
    <row r="13" spans="1:20" hidden="1" x14ac:dyDescent="0.3">
      <c r="A13" s="23" t="s">
        <v>545</v>
      </c>
      <c r="B13" s="24" t="s">
        <v>546</v>
      </c>
      <c r="C13" s="25" t="s">
        <v>486</v>
      </c>
      <c r="D13" s="26" t="s">
        <v>518</v>
      </c>
      <c r="E13" s="27" t="s">
        <v>495</v>
      </c>
      <c r="F13" s="28"/>
      <c r="G13" s="27"/>
      <c r="H13" s="27" t="s">
        <v>547</v>
      </c>
      <c r="I13" s="27"/>
      <c r="J13" s="33"/>
      <c r="K13" s="30"/>
    </row>
    <row r="14" spans="1:20" hidden="1" x14ac:dyDescent="0.3">
      <c r="A14" s="23" t="s">
        <v>548</v>
      </c>
      <c r="B14" s="24" t="s">
        <v>549</v>
      </c>
      <c r="C14" s="25" t="s">
        <v>486</v>
      </c>
      <c r="D14" s="26" t="s">
        <v>518</v>
      </c>
      <c r="E14" s="27" t="s">
        <v>495</v>
      </c>
      <c r="F14" s="28" t="s">
        <v>519</v>
      </c>
      <c r="G14" s="27"/>
      <c r="H14" s="27"/>
      <c r="I14" s="27"/>
      <c r="J14" s="33"/>
      <c r="K14" s="30"/>
    </row>
    <row r="15" spans="1:20" hidden="1" x14ac:dyDescent="0.3">
      <c r="A15" s="23" t="s">
        <v>550</v>
      </c>
      <c r="B15" s="24" t="s">
        <v>551</v>
      </c>
      <c r="C15" s="25" t="s">
        <v>486</v>
      </c>
      <c r="D15" s="26" t="s">
        <v>495</v>
      </c>
      <c r="E15" s="27" t="s">
        <v>495</v>
      </c>
      <c r="F15" s="28"/>
      <c r="G15" s="27" t="s">
        <v>552</v>
      </c>
      <c r="H15" s="31"/>
      <c r="I15" s="27" t="s">
        <v>553</v>
      </c>
      <c r="J15" s="27"/>
      <c r="K15" s="32"/>
    </row>
    <row r="16" spans="1:20" hidden="1" x14ac:dyDescent="0.3">
      <c r="A16" s="23" t="s">
        <v>554</v>
      </c>
      <c r="B16" s="24" t="s">
        <v>555</v>
      </c>
      <c r="C16" s="25" t="s">
        <v>486</v>
      </c>
      <c r="D16" s="26" t="s">
        <v>518</v>
      </c>
      <c r="E16" s="27" t="s">
        <v>495</v>
      </c>
      <c r="F16" s="27"/>
      <c r="G16" s="27"/>
      <c r="H16" s="27" t="s">
        <v>556</v>
      </c>
      <c r="I16" s="27"/>
      <c r="J16" s="33" t="s">
        <v>557</v>
      </c>
      <c r="K16" s="30"/>
    </row>
    <row r="17" spans="1:11" hidden="1" x14ac:dyDescent="0.3">
      <c r="A17" s="23" t="s">
        <v>558</v>
      </c>
      <c r="B17" s="24" t="s">
        <v>559</v>
      </c>
      <c r="C17" s="25" t="s">
        <v>486</v>
      </c>
      <c r="D17" s="26" t="s">
        <v>495</v>
      </c>
      <c r="E17" s="27" t="s">
        <v>495</v>
      </c>
      <c r="F17" s="28"/>
      <c r="G17" s="27" t="s">
        <v>560</v>
      </c>
      <c r="H17" s="31"/>
      <c r="I17" s="27" t="s">
        <v>561</v>
      </c>
      <c r="J17" s="27"/>
      <c r="K17" s="32"/>
    </row>
    <row r="18" spans="1:11" hidden="1" x14ac:dyDescent="0.3">
      <c r="A18" s="23" t="s">
        <v>562</v>
      </c>
      <c r="B18" s="24" t="s">
        <v>563</v>
      </c>
      <c r="C18" s="25" t="s">
        <v>543</v>
      </c>
      <c r="D18" s="26" t="s">
        <v>495</v>
      </c>
      <c r="E18" s="27" t="s">
        <v>518</v>
      </c>
      <c r="F18" s="28"/>
      <c r="G18" s="28"/>
      <c r="H18" s="27" t="s">
        <v>564</v>
      </c>
      <c r="I18" s="27" t="s">
        <v>110</v>
      </c>
      <c r="J18" s="33" t="s">
        <v>565</v>
      </c>
      <c r="K18" s="30"/>
    </row>
    <row r="19" spans="1:11" x14ac:dyDescent="0.3">
      <c r="A19" s="23" t="s">
        <v>566</v>
      </c>
      <c r="B19" s="24" t="s">
        <v>567</v>
      </c>
      <c r="C19" s="25" t="s">
        <v>486</v>
      </c>
      <c r="D19" s="26" t="s">
        <v>504</v>
      </c>
      <c r="E19" s="27" t="s">
        <v>495</v>
      </c>
      <c r="F19" s="28"/>
      <c r="G19" s="27"/>
      <c r="H19" s="31"/>
      <c r="I19" s="27" t="s">
        <v>568</v>
      </c>
      <c r="J19" s="27"/>
      <c r="K19" s="32" t="s">
        <v>569</v>
      </c>
    </row>
    <row r="20" spans="1:11" hidden="1" x14ac:dyDescent="0.3">
      <c r="A20" s="23" t="s">
        <v>570</v>
      </c>
      <c r="B20" s="24" t="s">
        <v>571</v>
      </c>
      <c r="C20" s="25" t="s">
        <v>530</v>
      </c>
      <c r="D20" s="26" t="s">
        <v>518</v>
      </c>
      <c r="E20" s="27" t="s">
        <v>495</v>
      </c>
      <c r="F20" s="28" t="s">
        <v>111</v>
      </c>
      <c r="G20" s="28" t="s">
        <v>111</v>
      </c>
      <c r="H20" s="28" t="s">
        <v>111</v>
      </c>
      <c r="I20" s="28" t="s">
        <v>111</v>
      </c>
      <c r="J20" s="33" t="s">
        <v>111</v>
      </c>
      <c r="K20" s="30" t="s">
        <v>111</v>
      </c>
    </row>
    <row r="21" spans="1:11" s="75" customFormat="1" hidden="1" x14ac:dyDescent="0.3">
      <c r="A21" s="68" t="s">
        <v>572</v>
      </c>
      <c r="B21" s="69" t="s">
        <v>573</v>
      </c>
      <c r="C21" s="70" t="s">
        <v>530</v>
      </c>
      <c r="D21" s="71" t="s">
        <v>495</v>
      </c>
      <c r="E21" s="72" t="s">
        <v>518</v>
      </c>
      <c r="F21" s="73" t="s">
        <v>111</v>
      </c>
      <c r="G21" s="73" t="s">
        <v>111</v>
      </c>
      <c r="H21" s="73" t="s">
        <v>111</v>
      </c>
      <c r="I21" s="73" t="s">
        <v>111</v>
      </c>
      <c r="J21" s="72" t="s">
        <v>111</v>
      </c>
      <c r="K21" s="74" t="s">
        <v>111</v>
      </c>
    </row>
    <row r="22" spans="1:11" hidden="1" x14ac:dyDescent="0.3">
      <c r="A22" s="23" t="s">
        <v>574</v>
      </c>
      <c r="B22" s="24" t="s">
        <v>380</v>
      </c>
      <c r="C22" s="25" t="s">
        <v>575</v>
      </c>
      <c r="D22" s="26" t="s">
        <v>495</v>
      </c>
      <c r="E22" s="27" t="s">
        <v>518</v>
      </c>
      <c r="F22" s="28" t="s">
        <v>519</v>
      </c>
      <c r="G22" s="27"/>
      <c r="H22" s="31"/>
      <c r="I22" s="27" t="s">
        <v>110</v>
      </c>
      <c r="J22" s="27"/>
      <c r="K22" s="32"/>
    </row>
    <row r="23" spans="1:11" hidden="1" x14ac:dyDescent="0.3">
      <c r="A23" s="23" t="s">
        <v>576</v>
      </c>
      <c r="B23" s="24" t="s">
        <v>577</v>
      </c>
      <c r="C23" s="25" t="s">
        <v>486</v>
      </c>
      <c r="D23" s="26" t="s">
        <v>518</v>
      </c>
      <c r="E23" s="27" t="s">
        <v>495</v>
      </c>
      <c r="F23" s="28"/>
      <c r="G23" s="27" t="s">
        <v>578</v>
      </c>
      <c r="H23" s="31"/>
      <c r="I23" s="27" t="s">
        <v>110</v>
      </c>
      <c r="J23" s="33"/>
      <c r="K23" s="30"/>
    </row>
    <row r="24" spans="1:11" hidden="1" x14ac:dyDescent="0.3">
      <c r="A24" s="23" t="s">
        <v>579</v>
      </c>
      <c r="B24" s="24" t="s">
        <v>580</v>
      </c>
      <c r="C24" s="25" t="s">
        <v>486</v>
      </c>
      <c r="D24" s="26" t="s">
        <v>495</v>
      </c>
      <c r="E24" s="27" t="s">
        <v>495</v>
      </c>
      <c r="F24" s="28"/>
      <c r="G24" s="27"/>
      <c r="H24" s="31" t="s">
        <v>581</v>
      </c>
      <c r="I24" s="27" t="s">
        <v>110</v>
      </c>
      <c r="J24" s="27" t="s">
        <v>582</v>
      </c>
      <c r="K24" s="32"/>
    </row>
    <row r="25" spans="1:11" x14ac:dyDescent="0.3">
      <c r="A25" s="23" t="s">
        <v>583</v>
      </c>
      <c r="B25" s="24" t="s">
        <v>584</v>
      </c>
      <c r="C25" s="25" t="s">
        <v>486</v>
      </c>
      <c r="D25" s="26" t="s">
        <v>495</v>
      </c>
      <c r="E25" s="27" t="s">
        <v>495</v>
      </c>
      <c r="F25" s="28"/>
      <c r="G25" s="27"/>
      <c r="H25" s="31"/>
      <c r="I25" s="27" t="s">
        <v>585</v>
      </c>
      <c r="J25" s="33"/>
      <c r="K25" s="30" t="s">
        <v>586</v>
      </c>
    </row>
    <row r="26" spans="1:11" hidden="1" x14ac:dyDescent="0.3">
      <c r="A26" s="60" t="s">
        <v>587</v>
      </c>
      <c r="B26" s="61" t="s">
        <v>588</v>
      </c>
      <c r="C26" s="62" t="s">
        <v>589</v>
      </c>
      <c r="D26" s="63" t="s">
        <v>495</v>
      </c>
      <c r="E26" s="34" t="s">
        <v>518</v>
      </c>
      <c r="F26" s="64" t="s">
        <v>111</v>
      </c>
      <c r="G26" s="34"/>
      <c r="H26" s="65"/>
      <c r="I26" s="34" t="s">
        <v>110</v>
      </c>
      <c r="J26" s="34"/>
      <c r="K26" s="35"/>
    </row>
    <row r="27" spans="1:11" hidden="1" x14ac:dyDescent="0.3">
      <c r="A27" s="23" t="s">
        <v>590</v>
      </c>
      <c r="B27" s="24" t="s">
        <v>591</v>
      </c>
      <c r="C27" s="25" t="s">
        <v>486</v>
      </c>
      <c r="D27" s="26" t="s">
        <v>495</v>
      </c>
      <c r="E27" s="27" t="s">
        <v>495</v>
      </c>
      <c r="F27" s="28"/>
      <c r="G27" s="27" t="s">
        <v>592</v>
      </c>
      <c r="H27" s="31"/>
      <c r="I27" s="27" t="s">
        <v>593</v>
      </c>
      <c r="J27" s="33"/>
      <c r="K27" s="30"/>
    </row>
    <row r="28" spans="1:11" x14ac:dyDescent="0.3">
      <c r="A28" s="23" t="s">
        <v>594</v>
      </c>
      <c r="B28" s="24" t="s">
        <v>595</v>
      </c>
      <c r="C28" s="25" t="s">
        <v>486</v>
      </c>
      <c r="D28" s="26" t="s">
        <v>518</v>
      </c>
      <c r="E28" s="27" t="s">
        <v>495</v>
      </c>
      <c r="F28" s="28" t="s">
        <v>110</v>
      </c>
      <c r="G28" s="27" t="s">
        <v>110</v>
      </c>
      <c r="H28" s="31" t="s">
        <v>110</v>
      </c>
      <c r="I28" s="27"/>
      <c r="J28" s="27"/>
      <c r="K28" s="32" t="s">
        <v>596</v>
      </c>
    </row>
    <row r="29" spans="1:11" hidden="1" x14ac:dyDescent="0.3">
      <c r="A29" s="23" t="s">
        <v>597</v>
      </c>
      <c r="B29" s="24" t="s">
        <v>598</v>
      </c>
      <c r="C29" s="25" t="s">
        <v>486</v>
      </c>
      <c r="D29" s="26" t="s">
        <v>495</v>
      </c>
      <c r="E29" s="27" t="s">
        <v>495</v>
      </c>
      <c r="F29" s="28" t="s">
        <v>110</v>
      </c>
      <c r="G29" s="27" t="s">
        <v>110</v>
      </c>
      <c r="H29" s="31" t="s">
        <v>599</v>
      </c>
      <c r="I29" s="27" t="s">
        <v>110</v>
      </c>
      <c r="J29" s="33" t="s">
        <v>600</v>
      </c>
      <c r="K29" s="30"/>
    </row>
    <row r="30" spans="1:11" x14ac:dyDescent="0.3">
      <c r="A30" s="23" t="s">
        <v>601</v>
      </c>
      <c r="B30" s="24" t="s">
        <v>602</v>
      </c>
      <c r="C30" s="25" t="s">
        <v>486</v>
      </c>
      <c r="D30" s="26" t="s">
        <v>495</v>
      </c>
      <c r="E30" s="27" t="s">
        <v>495</v>
      </c>
      <c r="F30" s="28" t="s">
        <v>110</v>
      </c>
      <c r="G30" s="27" t="s">
        <v>110</v>
      </c>
      <c r="H30" s="31" t="s">
        <v>110</v>
      </c>
      <c r="I30" s="27" t="s">
        <v>603</v>
      </c>
      <c r="J30" s="27"/>
      <c r="K30" s="32" t="s">
        <v>604</v>
      </c>
    </row>
    <row r="31" spans="1:11" hidden="1" x14ac:dyDescent="0.3">
      <c r="A31" s="23" t="s">
        <v>587</v>
      </c>
      <c r="B31" s="24" t="s">
        <v>605</v>
      </c>
      <c r="C31" s="25" t="s">
        <v>589</v>
      </c>
      <c r="D31" s="26" t="s">
        <v>495</v>
      </c>
      <c r="E31" s="27" t="s">
        <v>518</v>
      </c>
      <c r="F31" s="28" t="s">
        <v>519</v>
      </c>
      <c r="G31" s="27" t="s">
        <v>110</v>
      </c>
      <c r="H31" s="31" t="s">
        <v>110</v>
      </c>
      <c r="I31" s="27" t="s">
        <v>110</v>
      </c>
      <c r="J31" s="33"/>
      <c r="K31" s="30"/>
    </row>
    <row r="32" spans="1:11" hidden="1" x14ac:dyDescent="0.3">
      <c r="A32" s="38" t="s">
        <v>606</v>
      </c>
      <c r="B32" s="39" t="s">
        <v>607</v>
      </c>
      <c r="C32" s="40" t="s">
        <v>486</v>
      </c>
      <c r="D32" s="41" t="s">
        <v>524</v>
      </c>
      <c r="E32" s="42" t="s">
        <v>495</v>
      </c>
      <c r="F32" s="43" t="s">
        <v>110</v>
      </c>
      <c r="G32" s="42" t="s">
        <v>608</v>
      </c>
      <c r="H32" s="43"/>
      <c r="I32" s="44" t="s">
        <v>609</v>
      </c>
      <c r="J32" s="42"/>
      <c r="K32" s="45"/>
    </row>
    <row r="34" spans="1:11" x14ac:dyDescent="0.3">
      <c r="E34" s="13"/>
    </row>
    <row r="35" spans="1:11" ht="28.8" x14ac:dyDescent="0.3">
      <c r="A35" s="5" t="s">
        <v>610</v>
      </c>
      <c r="C35" s="6" t="s">
        <v>611</v>
      </c>
      <c r="F35" s="66" t="e">
        <f>#REF! +#REF!</f>
        <v>#REF!</v>
      </c>
      <c r="G35" s="66" t="e">
        <f>#REF!</f>
        <v>#REF!</v>
      </c>
      <c r="H35" s="66" t="e">
        <f>#REF!</f>
        <v>#REF!</v>
      </c>
      <c r="I35" s="66" t="e">
        <f>#REF!</f>
        <v>#REF!</v>
      </c>
      <c r="J35" s="66" t="e">
        <f>#REF!</f>
        <v>#REF!</v>
      </c>
      <c r="K35" s="66" t="e">
        <f>#REF!</f>
        <v>#REF!</v>
      </c>
    </row>
    <row r="37" spans="1:11" x14ac:dyDescent="0.3">
      <c r="A37" s="5" t="s">
        <v>612</v>
      </c>
      <c r="F37" s="67" t="e">
        <f>#REF!+#REF!</f>
        <v>#REF!</v>
      </c>
      <c r="G37" s="67" t="e">
        <f>#REF!</f>
        <v>#REF!</v>
      </c>
      <c r="H37" s="67" t="e">
        <f>#REF!</f>
        <v>#REF!</v>
      </c>
      <c r="I37" s="67" t="e">
        <f>#REF!</f>
        <v>#REF!</v>
      </c>
      <c r="J37" s="67" t="e">
        <f>#REF!</f>
        <v>#REF!</v>
      </c>
      <c r="K37" s="67" t="e">
        <f>#REF!</f>
        <v>#REF!</v>
      </c>
    </row>
  </sheetData>
  <mergeCells count="1">
    <mergeCell ref="O9:T10"/>
  </mergeCells>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7044C-B145-4A9F-9C18-CA1F1B2337FB}">
  <dimension ref="A1:G67"/>
  <sheetViews>
    <sheetView tabSelected="1" topLeftCell="A30" workbookViewId="0">
      <selection activeCell="G53" sqref="G53"/>
    </sheetView>
  </sheetViews>
  <sheetFormatPr defaultColWidth="9.109375" defaultRowHeight="14.4" x14ac:dyDescent="0.3"/>
  <cols>
    <col min="2" max="2" width="78.33203125" customWidth="1"/>
    <col min="3" max="3" width="39.109375" customWidth="1"/>
    <col min="4" max="4" width="38.44140625" customWidth="1"/>
    <col min="5" max="5" width="13.88671875" customWidth="1"/>
    <col min="6" max="6" width="13.6640625" customWidth="1"/>
  </cols>
  <sheetData>
    <row r="1" spans="1:7" ht="18" x14ac:dyDescent="0.35">
      <c r="A1" s="268" t="s">
        <v>613</v>
      </c>
      <c r="B1" s="268"/>
      <c r="C1" s="268"/>
      <c r="D1" s="268"/>
    </row>
    <row r="2" spans="1:7" ht="18" x14ac:dyDescent="0.35">
      <c r="A2" s="163"/>
    </row>
    <row r="3" spans="1:7" x14ac:dyDescent="0.3">
      <c r="B3" s="164" t="s">
        <v>614</v>
      </c>
      <c r="C3" s="164" t="s">
        <v>615</v>
      </c>
      <c r="D3" s="164" t="s">
        <v>616</v>
      </c>
      <c r="E3" s="229" t="s">
        <v>243</v>
      </c>
      <c r="F3" s="229" t="s">
        <v>244</v>
      </c>
      <c r="G3" s="164" t="s">
        <v>747</v>
      </c>
    </row>
    <row r="5" spans="1:7" x14ac:dyDescent="0.3">
      <c r="A5">
        <v>1</v>
      </c>
      <c r="B5" t="s">
        <v>617</v>
      </c>
      <c r="C5" t="s">
        <v>618</v>
      </c>
      <c r="D5" t="s">
        <v>619</v>
      </c>
      <c r="E5" s="228" t="s">
        <v>620</v>
      </c>
      <c r="F5" s="228" t="s">
        <v>620</v>
      </c>
      <c r="G5" t="s">
        <v>748</v>
      </c>
    </row>
    <row r="6" spans="1:7" x14ac:dyDescent="0.3">
      <c r="A6">
        <v>2</v>
      </c>
      <c r="B6" t="s">
        <v>621</v>
      </c>
      <c r="C6" s="232" t="s">
        <v>622</v>
      </c>
      <c r="D6" s="232" t="s">
        <v>623</v>
      </c>
      <c r="G6" t="s">
        <v>748</v>
      </c>
    </row>
    <row r="7" spans="1:7" x14ac:dyDescent="0.3">
      <c r="A7">
        <v>3</v>
      </c>
      <c r="B7" t="s">
        <v>624</v>
      </c>
      <c r="C7" t="s">
        <v>625</v>
      </c>
      <c r="D7" t="s">
        <v>626</v>
      </c>
      <c r="G7" t="s">
        <v>748</v>
      </c>
    </row>
    <row r="8" spans="1:7" x14ac:dyDescent="0.3">
      <c r="A8">
        <v>4</v>
      </c>
      <c r="B8" t="s">
        <v>627</v>
      </c>
      <c r="C8" t="s">
        <v>628</v>
      </c>
      <c r="G8" t="s">
        <v>748</v>
      </c>
    </row>
    <row r="9" spans="1:7" x14ac:dyDescent="0.3">
      <c r="A9">
        <v>5</v>
      </c>
      <c r="B9" t="s">
        <v>629</v>
      </c>
    </row>
    <row r="10" spans="1:7" x14ac:dyDescent="0.3">
      <c r="A10">
        <v>6</v>
      </c>
      <c r="B10" t="s">
        <v>630</v>
      </c>
    </row>
    <row r="11" spans="1:7" x14ac:dyDescent="0.3">
      <c r="A11">
        <v>7</v>
      </c>
      <c r="B11" t="s">
        <v>631</v>
      </c>
    </row>
    <row r="12" spans="1:7" x14ac:dyDescent="0.3">
      <c r="A12">
        <v>8</v>
      </c>
      <c r="B12" t="s">
        <v>632</v>
      </c>
    </row>
    <row r="13" spans="1:7" x14ac:dyDescent="0.3">
      <c r="A13">
        <v>9</v>
      </c>
      <c r="B13" t="s">
        <v>633</v>
      </c>
      <c r="G13" t="s">
        <v>748</v>
      </c>
    </row>
    <row r="14" spans="1:7" x14ac:dyDescent="0.3">
      <c r="A14">
        <v>10</v>
      </c>
      <c r="B14" t="s">
        <v>634</v>
      </c>
    </row>
    <row r="15" spans="1:7" x14ac:dyDescent="0.3">
      <c r="A15">
        <v>11</v>
      </c>
      <c r="B15" t="s">
        <v>635</v>
      </c>
    </row>
    <row r="16" spans="1:7" x14ac:dyDescent="0.3">
      <c r="A16">
        <v>12</v>
      </c>
      <c r="B16" t="s">
        <v>636</v>
      </c>
    </row>
    <row r="17" spans="1:2" x14ac:dyDescent="0.3">
      <c r="A17">
        <v>13</v>
      </c>
      <c r="B17" t="s">
        <v>637</v>
      </c>
    </row>
    <row r="18" spans="1:2" x14ac:dyDescent="0.3">
      <c r="A18">
        <v>14</v>
      </c>
      <c r="B18" t="s">
        <v>638</v>
      </c>
    </row>
    <row r="19" spans="1:2" x14ac:dyDescent="0.3">
      <c r="A19">
        <v>15</v>
      </c>
      <c r="B19" t="s">
        <v>639</v>
      </c>
    </row>
    <row r="20" spans="1:2" x14ac:dyDescent="0.3">
      <c r="A20">
        <v>16</v>
      </c>
      <c r="B20" t="s">
        <v>640</v>
      </c>
    </row>
    <row r="21" spans="1:2" x14ac:dyDescent="0.3">
      <c r="A21">
        <v>17</v>
      </c>
      <c r="B21" t="s">
        <v>641</v>
      </c>
    </row>
    <row r="22" spans="1:2" x14ac:dyDescent="0.3">
      <c r="A22">
        <v>18</v>
      </c>
      <c r="B22" t="s">
        <v>642</v>
      </c>
    </row>
    <row r="23" spans="1:2" x14ac:dyDescent="0.3">
      <c r="A23">
        <v>19</v>
      </c>
      <c r="B23" t="s">
        <v>643</v>
      </c>
    </row>
    <row r="24" spans="1:2" x14ac:dyDescent="0.3">
      <c r="A24">
        <v>20</v>
      </c>
      <c r="B24" t="s">
        <v>644</v>
      </c>
    </row>
    <row r="25" spans="1:2" x14ac:dyDescent="0.3">
      <c r="A25">
        <v>21</v>
      </c>
      <c r="B25" t="s">
        <v>645</v>
      </c>
    </row>
    <row r="26" spans="1:2" x14ac:dyDescent="0.3">
      <c r="A26">
        <v>22</v>
      </c>
      <c r="B26" t="s">
        <v>646</v>
      </c>
    </row>
    <row r="27" spans="1:2" x14ac:dyDescent="0.3">
      <c r="A27">
        <v>23</v>
      </c>
      <c r="B27" t="s">
        <v>647</v>
      </c>
    </row>
    <row r="28" spans="1:2" x14ac:dyDescent="0.3">
      <c r="A28">
        <v>24</v>
      </c>
      <c r="B28" t="s">
        <v>648</v>
      </c>
    </row>
    <row r="29" spans="1:2" x14ac:dyDescent="0.3">
      <c r="A29">
        <v>25</v>
      </c>
      <c r="B29" t="s">
        <v>649</v>
      </c>
    </row>
    <row r="30" spans="1:2" x14ac:dyDescent="0.3">
      <c r="A30">
        <v>26</v>
      </c>
      <c r="B30" t="s">
        <v>650</v>
      </c>
    </row>
    <row r="31" spans="1:2" x14ac:dyDescent="0.3">
      <c r="A31">
        <v>27</v>
      </c>
      <c r="B31" t="s">
        <v>651</v>
      </c>
    </row>
    <row r="32" spans="1:2" x14ac:dyDescent="0.3">
      <c r="A32">
        <v>28</v>
      </c>
      <c r="B32" t="s">
        <v>652</v>
      </c>
    </row>
    <row r="33" spans="1:2" x14ac:dyDescent="0.3">
      <c r="A33">
        <v>29</v>
      </c>
      <c r="B33" t="s">
        <v>653</v>
      </c>
    </row>
    <row r="34" spans="1:2" x14ac:dyDescent="0.3">
      <c r="A34">
        <v>30</v>
      </c>
      <c r="B34" t="s">
        <v>654</v>
      </c>
    </row>
    <row r="35" spans="1:2" x14ac:dyDescent="0.3">
      <c r="A35">
        <v>31</v>
      </c>
      <c r="B35" t="s">
        <v>655</v>
      </c>
    </row>
    <row r="36" spans="1:2" x14ac:dyDescent="0.3">
      <c r="A36">
        <v>32</v>
      </c>
      <c r="B36" t="s">
        <v>656</v>
      </c>
    </row>
    <row r="37" spans="1:2" x14ac:dyDescent="0.3">
      <c r="A37">
        <v>33</v>
      </c>
      <c r="B37" t="s">
        <v>657</v>
      </c>
    </row>
    <row r="38" spans="1:2" x14ac:dyDescent="0.3">
      <c r="A38">
        <v>34</v>
      </c>
      <c r="B38" t="s">
        <v>658</v>
      </c>
    </row>
    <row r="39" spans="1:2" x14ac:dyDescent="0.3">
      <c r="A39">
        <v>35</v>
      </c>
      <c r="B39" t="s">
        <v>659</v>
      </c>
    </row>
    <row r="40" spans="1:2" x14ac:dyDescent="0.3">
      <c r="A40">
        <v>36</v>
      </c>
      <c r="B40" t="s">
        <v>660</v>
      </c>
    </row>
    <row r="41" spans="1:2" x14ac:dyDescent="0.3">
      <c r="A41">
        <v>37</v>
      </c>
      <c r="B41" t="s">
        <v>661</v>
      </c>
    </row>
    <row r="42" spans="1:2" x14ac:dyDescent="0.3">
      <c r="A42">
        <v>38</v>
      </c>
      <c r="B42" t="s">
        <v>662</v>
      </c>
    </row>
    <row r="43" spans="1:2" x14ac:dyDescent="0.3">
      <c r="A43">
        <v>39</v>
      </c>
      <c r="B43" t="s">
        <v>663</v>
      </c>
    </row>
    <row r="44" spans="1:2" x14ac:dyDescent="0.3">
      <c r="A44">
        <v>40</v>
      </c>
      <c r="B44" t="s">
        <v>664</v>
      </c>
    </row>
    <row r="45" spans="1:2" x14ac:dyDescent="0.3">
      <c r="A45">
        <v>41</v>
      </c>
      <c r="B45" t="s">
        <v>665</v>
      </c>
    </row>
    <row r="46" spans="1:2" x14ac:dyDescent="0.3">
      <c r="A46">
        <v>42</v>
      </c>
      <c r="B46" t="s">
        <v>666</v>
      </c>
    </row>
    <row r="47" spans="1:2" x14ac:dyDescent="0.3">
      <c r="A47">
        <v>43</v>
      </c>
      <c r="B47" t="s">
        <v>667</v>
      </c>
    </row>
    <row r="48" spans="1:2" x14ac:dyDescent="0.3">
      <c r="A48">
        <v>44</v>
      </c>
      <c r="B48" t="s">
        <v>668</v>
      </c>
    </row>
    <row r="49" spans="1:7" x14ac:dyDescent="0.3">
      <c r="A49">
        <v>45</v>
      </c>
      <c r="B49" t="s">
        <v>669</v>
      </c>
    </row>
    <row r="50" spans="1:7" x14ac:dyDescent="0.3">
      <c r="A50">
        <v>46</v>
      </c>
      <c r="B50" t="s">
        <v>670</v>
      </c>
    </row>
    <row r="51" spans="1:7" x14ac:dyDescent="0.3">
      <c r="A51">
        <v>47</v>
      </c>
      <c r="B51" t="s">
        <v>671</v>
      </c>
    </row>
    <row r="52" spans="1:7" x14ac:dyDescent="0.3">
      <c r="A52">
        <v>48</v>
      </c>
      <c r="B52" t="s">
        <v>672</v>
      </c>
    </row>
    <row r="53" spans="1:7" x14ac:dyDescent="0.3">
      <c r="A53">
        <v>49</v>
      </c>
      <c r="B53" t="s">
        <v>673</v>
      </c>
    </row>
    <row r="54" spans="1:7" x14ac:dyDescent="0.3">
      <c r="A54">
        <v>50</v>
      </c>
      <c r="B54" t="s">
        <v>674</v>
      </c>
    </row>
    <row r="55" spans="1:7" x14ac:dyDescent="0.3">
      <c r="A55">
        <v>51</v>
      </c>
      <c r="B55" t="s">
        <v>675</v>
      </c>
    </row>
    <row r="56" spans="1:7" x14ac:dyDescent="0.3">
      <c r="A56">
        <v>52</v>
      </c>
      <c r="B56" t="s">
        <v>676</v>
      </c>
    </row>
    <row r="57" spans="1:7" x14ac:dyDescent="0.3">
      <c r="A57">
        <v>53</v>
      </c>
      <c r="B57" t="s">
        <v>677</v>
      </c>
    </row>
    <row r="58" spans="1:7" x14ac:dyDescent="0.3">
      <c r="A58">
        <v>54</v>
      </c>
      <c r="B58" t="s">
        <v>678</v>
      </c>
    </row>
    <row r="59" spans="1:7" x14ac:dyDescent="0.3">
      <c r="A59">
        <v>55</v>
      </c>
      <c r="B59" t="s">
        <v>679</v>
      </c>
    </row>
    <row r="60" spans="1:7" x14ac:dyDescent="0.3">
      <c r="A60">
        <v>56</v>
      </c>
      <c r="B60" t="s">
        <v>680</v>
      </c>
    </row>
    <row r="61" spans="1:7" x14ac:dyDescent="0.3">
      <c r="A61">
        <v>57</v>
      </c>
      <c r="B61" t="s">
        <v>681</v>
      </c>
      <c r="G61" t="s">
        <v>749</v>
      </c>
    </row>
    <row r="62" spans="1:7" x14ac:dyDescent="0.3">
      <c r="A62">
        <v>58</v>
      </c>
      <c r="B62" t="s">
        <v>682</v>
      </c>
      <c r="G62" t="s">
        <v>749</v>
      </c>
    </row>
    <row r="63" spans="1:7" x14ac:dyDescent="0.3">
      <c r="A63">
        <v>59</v>
      </c>
      <c r="B63" t="s">
        <v>683</v>
      </c>
      <c r="G63" t="s">
        <v>749</v>
      </c>
    </row>
    <row r="64" spans="1:7" x14ac:dyDescent="0.3">
      <c r="A64">
        <v>60</v>
      </c>
      <c r="B64" t="s">
        <v>684</v>
      </c>
      <c r="G64" t="s">
        <v>749</v>
      </c>
    </row>
    <row r="65" spans="1:7" x14ac:dyDescent="0.3">
      <c r="A65">
        <v>61</v>
      </c>
      <c r="B65" t="s">
        <v>685</v>
      </c>
      <c r="G65" t="s">
        <v>749</v>
      </c>
    </row>
    <row r="66" spans="1:7" x14ac:dyDescent="0.3">
      <c r="A66">
        <v>62</v>
      </c>
      <c r="B66" t="s">
        <v>686</v>
      </c>
    </row>
    <row r="67" spans="1:7" x14ac:dyDescent="0.3">
      <c r="A67">
        <v>63</v>
      </c>
      <c r="B67" t="s">
        <v>687</v>
      </c>
      <c r="E67" s="228" t="s">
        <v>688</v>
      </c>
      <c r="F67" s="228" t="s">
        <v>689</v>
      </c>
    </row>
  </sheetData>
  <mergeCells count="1">
    <mergeCell ref="A1:D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1CAE9-EAF6-4127-8697-D9FFB5E3043F}">
  <dimension ref="A1:F24"/>
  <sheetViews>
    <sheetView workbookViewId="0">
      <selection activeCell="A7" sqref="A7"/>
    </sheetView>
  </sheetViews>
  <sheetFormatPr defaultRowHeight="14.4" x14ac:dyDescent="0.3"/>
  <cols>
    <col min="2" max="2" width="31.88671875" bestFit="1" customWidth="1"/>
    <col min="3" max="3" width="61.6640625" bestFit="1" customWidth="1"/>
    <col min="4" max="4" width="101.109375" bestFit="1" customWidth="1"/>
  </cols>
  <sheetData>
    <row r="1" spans="1:6" x14ac:dyDescent="0.3">
      <c r="A1" s="237" t="s">
        <v>690</v>
      </c>
      <c r="B1" s="237" t="s">
        <v>691</v>
      </c>
      <c r="C1" s="237" t="s">
        <v>615</v>
      </c>
      <c r="D1" s="237" t="s">
        <v>616</v>
      </c>
      <c r="E1" s="238" t="s">
        <v>243</v>
      </c>
      <c r="F1" s="238" t="s">
        <v>244</v>
      </c>
    </row>
    <row r="2" spans="1:6" x14ac:dyDescent="0.3">
      <c r="A2" s="124">
        <v>1</v>
      </c>
      <c r="B2" s="234" t="s">
        <v>692</v>
      </c>
      <c r="C2" s="234" t="s">
        <v>693</v>
      </c>
      <c r="D2" s="235" t="s">
        <v>694</v>
      </c>
      <c r="E2" s="115"/>
      <c r="F2" s="115"/>
    </row>
    <row r="3" spans="1:6" x14ac:dyDescent="0.3">
      <c r="A3" s="129">
        <v>2</v>
      </c>
      <c r="B3" s="233" t="s">
        <v>695</v>
      </c>
      <c r="C3" s="233" t="s">
        <v>696</v>
      </c>
      <c r="D3" s="236" t="s">
        <v>697</v>
      </c>
      <c r="E3" s="115"/>
      <c r="F3" s="115"/>
    </row>
    <row r="4" spans="1:6" x14ac:dyDescent="0.3">
      <c r="A4" s="129">
        <v>3</v>
      </c>
      <c r="B4" s="233" t="s">
        <v>698</v>
      </c>
      <c r="C4" s="233" t="s">
        <v>699</v>
      </c>
      <c r="D4" s="236" t="s">
        <v>700</v>
      </c>
      <c r="E4" s="115"/>
      <c r="F4" s="115"/>
    </row>
    <row r="5" spans="1:6" x14ac:dyDescent="0.3">
      <c r="A5" s="129">
        <v>4</v>
      </c>
      <c r="B5" s="233" t="s">
        <v>701</v>
      </c>
      <c r="C5" s="233" t="s">
        <v>702</v>
      </c>
      <c r="D5" s="236" t="s">
        <v>703</v>
      </c>
      <c r="E5" s="115"/>
      <c r="F5" s="115"/>
    </row>
    <row r="6" spans="1:6" x14ac:dyDescent="0.3">
      <c r="A6" s="129">
        <v>5</v>
      </c>
      <c r="B6" s="233" t="s">
        <v>704</v>
      </c>
      <c r="C6" s="233" t="s">
        <v>705</v>
      </c>
      <c r="D6" s="236" t="s">
        <v>706</v>
      </c>
      <c r="E6" s="115"/>
      <c r="F6" s="115"/>
    </row>
    <row r="7" spans="1:6" x14ac:dyDescent="0.3">
      <c r="A7" s="129">
        <v>6</v>
      </c>
      <c r="B7" s="233" t="s">
        <v>707</v>
      </c>
      <c r="C7" s="233" t="s">
        <v>708</v>
      </c>
      <c r="D7" s="236" t="s">
        <v>709</v>
      </c>
      <c r="E7" s="115"/>
      <c r="F7" s="115"/>
    </row>
    <row r="8" spans="1:6" ht="28.8" x14ac:dyDescent="0.3">
      <c r="A8" s="129">
        <v>7</v>
      </c>
      <c r="B8" s="233" t="s">
        <v>710</v>
      </c>
      <c r="C8" s="233" t="s">
        <v>711</v>
      </c>
      <c r="D8" s="236" t="s">
        <v>712</v>
      </c>
      <c r="E8" s="115"/>
      <c r="F8" s="115"/>
    </row>
    <row r="9" spans="1:6" ht="28.8" x14ac:dyDescent="0.3">
      <c r="A9" s="129">
        <v>8</v>
      </c>
      <c r="B9" s="233" t="s">
        <v>713</v>
      </c>
      <c r="C9" s="233" t="s">
        <v>714</v>
      </c>
      <c r="D9" s="236" t="s">
        <v>715</v>
      </c>
      <c r="E9" s="115"/>
      <c r="F9" s="115"/>
    </row>
    <row r="10" spans="1:6" ht="28.8" x14ac:dyDescent="0.3">
      <c r="A10" s="129">
        <v>9</v>
      </c>
      <c r="B10" s="233" t="s">
        <v>716</v>
      </c>
      <c r="C10" s="233" t="s">
        <v>717</v>
      </c>
      <c r="D10" s="236" t="s">
        <v>718</v>
      </c>
      <c r="E10" s="115"/>
      <c r="F10" s="115"/>
    </row>
    <row r="11" spans="1:6" x14ac:dyDescent="0.3">
      <c r="A11" s="129">
        <v>10</v>
      </c>
      <c r="B11" s="233" t="s">
        <v>719</v>
      </c>
      <c r="C11" s="233" t="s">
        <v>720</v>
      </c>
      <c r="D11" s="236" t="s">
        <v>721</v>
      </c>
      <c r="E11" s="115"/>
      <c r="F11" s="115"/>
    </row>
    <row r="12" spans="1:6" ht="28.8" x14ac:dyDescent="0.3">
      <c r="A12" s="129">
        <v>11</v>
      </c>
      <c r="B12" s="233" t="s">
        <v>722</v>
      </c>
      <c r="C12" s="233" t="s">
        <v>723</v>
      </c>
      <c r="D12" s="236" t="s">
        <v>724</v>
      </c>
      <c r="E12" s="115"/>
      <c r="F12" s="115"/>
    </row>
    <row r="13" spans="1:6" x14ac:dyDescent="0.3">
      <c r="A13" s="129">
        <v>12</v>
      </c>
      <c r="B13" s="233" t="s">
        <v>725</v>
      </c>
      <c r="C13" s="233" t="s">
        <v>725</v>
      </c>
      <c r="D13" s="236" t="s">
        <v>726</v>
      </c>
      <c r="E13" s="115"/>
      <c r="F13" s="115"/>
    </row>
    <row r="14" spans="1:6" x14ac:dyDescent="0.3">
      <c r="A14" s="129">
        <v>13</v>
      </c>
      <c r="B14" s="233" t="s">
        <v>727</v>
      </c>
      <c r="C14" s="233" t="s">
        <v>728</v>
      </c>
      <c r="D14" s="236" t="s">
        <v>729</v>
      </c>
      <c r="E14" s="115"/>
      <c r="F14" s="115"/>
    </row>
    <row r="15" spans="1:6" x14ac:dyDescent="0.3">
      <c r="A15" s="129">
        <v>14</v>
      </c>
      <c r="B15" s="233" t="s">
        <v>730</v>
      </c>
      <c r="C15" s="233" t="s">
        <v>731</v>
      </c>
      <c r="D15" s="236" t="s">
        <v>732</v>
      </c>
      <c r="E15" s="115"/>
      <c r="F15" s="115"/>
    </row>
    <row r="16" spans="1:6" ht="28.8" x14ac:dyDescent="0.3">
      <c r="A16" s="129">
        <v>15</v>
      </c>
      <c r="B16" s="233" t="s">
        <v>733</v>
      </c>
      <c r="C16" s="233" t="s">
        <v>733</v>
      </c>
      <c r="D16" s="236" t="s">
        <v>734</v>
      </c>
      <c r="E16" s="115"/>
      <c r="F16" s="115"/>
    </row>
    <row r="17" spans="1:6" x14ac:dyDescent="0.3">
      <c r="A17" s="129">
        <v>16</v>
      </c>
      <c r="B17" s="233" t="s">
        <v>735</v>
      </c>
      <c r="C17" s="233" t="s">
        <v>736</v>
      </c>
      <c r="D17" s="236" t="s">
        <v>737</v>
      </c>
      <c r="E17" s="115"/>
      <c r="F17" s="115"/>
    </row>
    <row r="18" spans="1:6" x14ac:dyDescent="0.3">
      <c r="A18" s="129">
        <v>17</v>
      </c>
      <c r="B18" s="233" t="s">
        <v>738</v>
      </c>
      <c r="C18" s="233" t="s">
        <v>738</v>
      </c>
      <c r="D18" s="236" t="s">
        <v>739</v>
      </c>
      <c r="E18" s="115"/>
      <c r="F18" s="115"/>
    </row>
    <row r="19" spans="1:6" x14ac:dyDescent="0.3">
      <c r="A19" s="129">
        <v>18</v>
      </c>
      <c r="B19" s="233" t="s">
        <v>740</v>
      </c>
      <c r="C19" s="233" t="s">
        <v>740</v>
      </c>
      <c r="D19" s="236" t="s">
        <v>741</v>
      </c>
      <c r="E19" s="115"/>
      <c r="F19" s="115"/>
    </row>
    <row r="20" spans="1:6" x14ac:dyDescent="0.3">
      <c r="A20" s="129">
        <v>19</v>
      </c>
      <c r="B20" s="233" t="s">
        <v>742</v>
      </c>
      <c r="C20" s="233" t="s">
        <v>742</v>
      </c>
      <c r="D20" s="236" t="s">
        <v>743</v>
      </c>
      <c r="E20" s="115"/>
      <c r="F20" s="115"/>
    </row>
    <row r="21" spans="1:6" x14ac:dyDescent="0.3">
      <c r="A21" s="129">
        <v>20</v>
      </c>
      <c r="B21" s="233" t="s">
        <v>744</v>
      </c>
      <c r="C21" s="233" t="s">
        <v>745</v>
      </c>
      <c r="D21" s="236" t="s">
        <v>746</v>
      </c>
      <c r="E21" s="115"/>
      <c r="F21" s="115"/>
    </row>
    <row r="22" spans="1:6" x14ac:dyDescent="0.3">
      <c r="A22" s="129">
        <v>21</v>
      </c>
      <c r="B22" s="128"/>
      <c r="C22" s="128"/>
      <c r="D22" s="231"/>
      <c r="E22" s="115"/>
      <c r="F22" s="115"/>
    </row>
    <row r="23" spans="1:6" x14ac:dyDescent="0.3">
      <c r="A23" s="129">
        <v>22</v>
      </c>
      <c r="B23" s="128"/>
      <c r="C23" s="128"/>
      <c r="D23" s="231"/>
      <c r="E23" s="115"/>
      <c r="F23" s="115"/>
    </row>
    <row r="24" spans="1:6" x14ac:dyDescent="0.3">
      <c r="A24" s="129">
        <v>23</v>
      </c>
      <c r="B24" s="128"/>
      <c r="C24" s="128"/>
      <c r="D24" s="231"/>
      <c r="E24" s="115"/>
      <c r="F24" s="1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5E35A435EA9B49914A6FDBBF1BB5C6" ma:contentTypeVersion="11" ma:contentTypeDescription="Create a new document." ma:contentTypeScope="" ma:versionID="ea5a112b14b3db60d56cd07709f3ac31">
  <xsd:schema xmlns:xsd="http://www.w3.org/2001/XMLSchema" xmlns:xs="http://www.w3.org/2001/XMLSchema" xmlns:p="http://schemas.microsoft.com/office/2006/metadata/properties" xmlns:ns2="38be355c-b979-4502-87a6-6a1a9813b7d6" xmlns:ns3="ce5189a7-fc6d-4b7c-a90e-79c69cf94b30" targetNamespace="http://schemas.microsoft.com/office/2006/metadata/properties" ma:root="true" ma:fieldsID="21c0996183bf0c362e4977347ba104a5" ns2:_="" ns3:_="">
    <xsd:import namespace="38be355c-b979-4502-87a6-6a1a9813b7d6"/>
    <xsd:import namespace="ce5189a7-fc6d-4b7c-a90e-79c69cf94b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be355c-b979-4502-87a6-6a1a9813b7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4071728-171b-4235-88ee-ee9a0513a7b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e5189a7-fc6d-4b7c-a90e-79c69cf94b3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416595fd-ca53-4865-8f08-39a29ef34f73}" ma:internalName="TaxCatchAll" ma:showField="CatchAllData" ma:web="ce5189a7-fc6d-4b7c-a90e-79c69cf94b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e5189a7-fc6d-4b7c-a90e-79c69cf94b30" xsi:nil="true"/>
    <lcf76f155ced4ddcb4097134ff3c332f xmlns="38be355c-b979-4502-87a6-6a1a9813b7d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6DE8DA-87B0-41F3-AA3C-E6EB3F7CB9A8}">
  <ds:schemaRefs>
    <ds:schemaRef ds:uri="http://schemas.microsoft.com/sharepoint/v3/contenttype/forms"/>
  </ds:schemaRefs>
</ds:datastoreItem>
</file>

<file path=customXml/itemProps2.xml><?xml version="1.0" encoding="utf-8"?>
<ds:datastoreItem xmlns:ds="http://schemas.openxmlformats.org/officeDocument/2006/customXml" ds:itemID="{2507E74B-CFD8-4A46-AB6E-982A76D9DE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8be355c-b979-4502-87a6-6a1a9813b7d6"/>
    <ds:schemaRef ds:uri="ce5189a7-fc6d-4b7c-a90e-79c69cf94b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0640E2B-D8F5-4230-977B-9675516A0344}">
  <ds:schemaRefs>
    <ds:schemaRef ds:uri="http://schemas.microsoft.com/office/2006/metadata/properties"/>
    <ds:schemaRef ds:uri="http://schemas.microsoft.com/office/infopath/2007/PartnerControls"/>
    <ds:schemaRef ds:uri="ce5189a7-fc6d-4b7c-a90e-79c69cf94b30"/>
    <ds:schemaRef ds:uri="38be355c-b979-4502-87a6-6a1a9813b7d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Planning req for WS</vt:lpstr>
      <vt:lpstr>Prerequisites</vt:lpstr>
      <vt:lpstr>LL Tasks</vt:lpstr>
      <vt:lpstr>Open Support</vt:lpstr>
      <vt:lpstr>Input</vt:lpstr>
      <vt:lpstr>Pre-Migration testing</vt:lpstr>
      <vt:lpstr>PROD Tenant Migration Framework</vt:lpstr>
      <vt:lpstr>Virtualization tasks</vt:lpstr>
      <vt:lpstr>Containerization POC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Evans, Stuart</dc:creator>
  <cp:keywords/>
  <dc:description/>
  <cp:lastModifiedBy>Pohancanik, Adrian</cp:lastModifiedBy>
  <cp:revision/>
  <dcterms:created xsi:type="dcterms:W3CDTF">2024-06-07T11:13:14Z</dcterms:created>
  <dcterms:modified xsi:type="dcterms:W3CDTF">2026-02-12T08:03:54Z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48313c-e527-4fa7-9d80-d4756a52565e_Enabled">
    <vt:lpwstr>true</vt:lpwstr>
  </property>
  <property fmtid="{D5CDD505-2E9C-101B-9397-08002B2CF9AE}" pid="3" name="MSIP_Label_8b48313c-e527-4fa7-9d80-d4756a52565e_SetDate">
    <vt:lpwstr>2025-09-16T06:19:25Z</vt:lpwstr>
  </property>
  <property fmtid="{D5CDD505-2E9C-101B-9397-08002B2CF9AE}" pid="4" name="MSIP_Label_8b48313c-e527-4fa7-9d80-d4756a52565e_Method">
    <vt:lpwstr>Standard</vt:lpwstr>
  </property>
  <property fmtid="{D5CDD505-2E9C-101B-9397-08002B2CF9AE}" pid="5" name="MSIP_Label_8b48313c-e527-4fa7-9d80-d4756a52565e_Name">
    <vt:lpwstr>Internal Only</vt:lpwstr>
  </property>
  <property fmtid="{D5CDD505-2E9C-101B-9397-08002B2CF9AE}" pid="6" name="MSIP_Label_8b48313c-e527-4fa7-9d80-d4756a52565e_SiteId">
    <vt:lpwstr>24ea6e57-8d6a-4722-84d3-54680b968e2c</vt:lpwstr>
  </property>
  <property fmtid="{D5CDD505-2E9C-101B-9397-08002B2CF9AE}" pid="7" name="MSIP_Label_8b48313c-e527-4fa7-9d80-d4756a52565e_ActionId">
    <vt:lpwstr>6b81476f-9ba9-46d3-b981-8ae69316744e</vt:lpwstr>
  </property>
  <property fmtid="{D5CDD505-2E9C-101B-9397-08002B2CF9AE}" pid="8" name="MSIP_Label_8b48313c-e527-4fa7-9d80-d4756a52565e_ContentBits">
    <vt:lpwstr>0</vt:lpwstr>
  </property>
  <property fmtid="{D5CDD505-2E9C-101B-9397-08002B2CF9AE}" pid="9" name="MSIP_Label_8b48313c-e527-4fa7-9d80-d4756a52565e_Tag">
    <vt:lpwstr>10, 3, 0, 2</vt:lpwstr>
  </property>
  <property fmtid="{D5CDD505-2E9C-101B-9397-08002B2CF9AE}" pid="10" name="ContentTypeId">
    <vt:lpwstr>0x0101001B5E35A435EA9B49914A6FDBBF1BB5C6</vt:lpwstr>
  </property>
  <property fmtid="{D5CDD505-2E9C-101B-9397-08002B2CF9AE}" pid="11" name="MediaServiceImageTags">
    <vt:lpwstr/>
  </property>
</Properties>
</file>